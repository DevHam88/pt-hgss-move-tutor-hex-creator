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8660" windowHeight="7050"/>
  </bookViews>
  <sheets>
    <sheet name="HGSS" sheetId="5" r:id="rId1"/>
    <sheet name="Platinum" sheetId="6" r:id="rId2"/>
    <sheet name="Lookups" sheetId="3" r:id="rId3"/>
    <sheet name="Password" sheetId="7" state="hidden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5" l="1"/>
  <c r="K6" i="6"/>
  <c r="H36" i="5" l="1"/>
  <c r="D13" i="5" s="1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32" i="5"/>
  <c r="O53" i="6"/>
  <c r="O32" i="6"/>
  <c r="O33" i="6"/>
  <c r="C75" i="6" s="1"/>
  <c r="O34" i="6"/>
  <c r="O35" i="6"/>
  <c r="O36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37" i="6"/>
  <c r="C95" i="5" l="1"/>
  <c r="O6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32" i="6"/>
  <c r="N72" i="6" s="1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32" i="5"/>
  <c r="L92" i="5" s="1"/>
  <c r="E33" i="6"/>
  <c r="D10" i="6" s="1"/>
  <c r="E34" i="6"/>
  <c r="D11" i="6" s="1"/>
  <c r="E35" i="6"/>
  <c r="D12" i="6" s="1"/>
  <c r="E36" i="6"/>
  <c r="D13" i="6" s="1"/>
  <c r="E37" i="6"/>
  <c r="D14" i="6" s="1"/>
  <c r="E38" i="6"/>
  <c r="D15" i="6" s="1"/>
  <c r="E39" i="6"/>
  <c r="D16" i="6" s="1"/>
  <c r="E40" i="6"/>
  <c r="D17" i="6" s="1"/>
  <c r="E41" i="6"/>
  <c r="D18" i="6" s="1"/>
  <c r="E42" i="6"/>
  <c r="D19" i="6" s="1"/>
  <c r="E43" i="6"/>
  <c r="D20" i="6" s="1"/>
  <c r="E44" i="6"/>
  <c r="D21" i="6" s="1"/>
  <c r="E45" i="6"/>
  <c r="D22" i="6" s="1"/>
  <c r="E46" i="6"/>
  <c r="D23" i="6" s="1"/>
  <c r="E47" i="6"/>
  <c r="D24" i="6" s="1"/>
  <c r="E48" i="6"/>
  <c r="H9" i="6" s="1"/>
  <c r="E49" i="6"/>
  <c r="H10" i="6" s="1"/>
  <c r="E50" i="6"/>
  <c r="H11" i="6" s="1"/>
  <c r="E51" i="6"/>
  <c r="H12" i="6" s="1"/>
  <c r="E52" i="6"/>
  <c r="H13" i="6" s="1"/>
  <c r="E53" i="6"/>
  <c r="H14" i="6" s="1"/>
  <c r="E54" i="6"/>
  <c r="H15" i="6" s="1"/>
  <c r="E55" i="6"/>
  <c r="H16" i="6" s="1"/>
  <c r="E56" i="6"/>
  <c r="H17" i="6" s="1"/>
  <c r="E57" i="6"/>
  <c r="H18" i="6" s="1"/>
  <c r="E58" i="6"/>
  <c r="H19" i="6" s="1"/>
  <c r="E59" i="6"/>
  <c r="H20" i="6" s="1"/>
  <c r="E60" i="6"/>
  <c r="H21" i="6" s="1"/>
  <c r="E61" i="6"/>
  <c r="H22" i="6" s="1"/>
  <c r="E62" i="6"/>
  <c r="H23" i="6" s="1"/>
  <c r="E63" i="6"/>
  <c r="H24" i="6" s="1"/>
  <c r="E64" i="6"/>
  <c r="N9" i="6" s="1"/>
  <c r="E65" i="6"/>
  <c r="N10" i="6" s="1"/>
  <c r="E66" i="6"/>
  <c r="N11" i="6" s="1"/>
  <c r="E67" i="6"/>
  <c r="N12" i="6" s="1"/>
  <c r="E68" i="6"/>
  <c r="N13" i="6" s="1"/>
  <c r="E69" i="6"/>
  <c r="N14" i="6" s="1"/>
  <c r="E32" i="6"/>
  <c r="D9" i="6" s="1"/>
  <c r="H33" i="5"/>
  <c r="D10" i="5" s="1"/>
  <c r="H34" i="5"/>
  <c r="D11" i="5" s="1"/>
  <c r="H35" i="5"/>
  <c r="D12" i="5" s="1"/>
  <c r="H37" i="5"/>
  <c r="D14" i="5" s="1"/>
  <c r="H38" i="5"/>
  <c r="D15" i="5" s="1"/>
  <c r="H39" i="5"/>
  <c r="D16" i="5" s="1"/>
  <c r="H40" i="5"/>
  <c r="D17" i="5" s="1"/>
  <c r="H41" i="5"/>
  <c r="D18" i="5" s="1"/>
  <c r="H42" i="5"/>
  <c r="D19" i="5" s="1"/>
  <c r="H43" i="5"/>
  <c r="D20" i="5" s="1"/>
  <c r="H44" i="5"/>
  <c r="D21" i="5" s="1"/>
  <c r="H45" i="5"/>
  <c r="D22" i="5" s="1"/>
  <c r="H46" i="5"/>
  <c r="D23" i="5" s="1"/>
  <c r="H47" i="5"/>
  <c r="D24" i="5" s="1"/>
  <c r="H48" i="5"/>
  <c r="H9" i="5" s="1"/>
  <c r="H49" i="5"/>
  <c r="H10" i="5" s="1"/>
  <c r="H50" i="5"/>
  <c r="H11" i="5" s="1"/>
  <c r="H51" i="5"/>
  <c r="H12" i="5" s="1"/>
  <c r="H52" i="5"/>
  <c r="H13" i="5" s="1"/>
  <c r="H53" i="5"/>
  <c r="H14" i="5" s="1"/>
  <c r="H54" i="5"/>
  <c r="H15" i="5" s="1"/>
  <c r="H55" i="5"/>
  <c r="H16" i="5" s="1"/>
  <c r="H56" i="5"/>
  <c r="H17" i="5" s="1"/>
  <c r="H57" i="5"/>
  <c r="H18" i="5" s="1"/>
  <c r="H58" i="5"/>
  <c r="H19" i="5" s="1"/>
  <c r="H59" i="5"/>
  <c r="H20" i="5" s="1"/>
  <c r="H60" i="5"/>
  <c r="H21" i="5" s="1"/>
  <c r="H61" i="5"/>
  <c r="H22" i="5" s="1"/>
  <c r="H62" i="5"/>
  <c r="H23" i="5" s="1"/>
  <c r="H63" i="5"/>
  <c r="H24" i="5" s="1"/>
  <c r="H64" i="5"/>
  <c r="L9" i="5" s="1"/>
  <c r="H65" i="5"/>
  <c r="L10" i="5" s="1"/>
  <c r="H66" i="5"/>
  <c r="L11" i="5" s="1"/>
  <c r="H67" i="5"/>
  <c r="L12" i="5" s="1"/>
  <c r="H68" i="5"/>
  <c r="L13" i="5" s="1"/>
  <c r="H69" i="5"/>
  <c r="L14" i="5" s="1"/>
  <c r="H70" i="5"/>
  <c r="L15" i="5" s="1"/>
  <c r="H71" i="5"/>
  <c r="L16" i="5" s="1"/>
  <c r="H72" i="5"/>
  <c r="L17" i="5" s="1"/>
  <c r="H73" i="5"/>
  <c r="L18" i="5" s="1"/>
  <c r="H74" i="5"/>
  <c r="L19" i="5" s="1"/>
  <c r="H75" i="5"/>
  <c r="L20" i="5" s="1"/>
  <c r="H76" i="5"/>
  <c r="L21" i="5" s="1"/>
  <c r="H77" i="5"/>
  <c r="L22" i="5" s="1"/>
  <c r="H78" i="5"/>
  <c r="L23" i="5" s="1"/>
  <c r="H79" i="5"/>
  <c r="L24" i="5" s="1"/>
  <c r="H80" i="5"/>
  <c r="P9" i="5" s="1"/>
  <c r="H81" i="5"/>
  <c r="P10" i="5" s="1"/>
  <c r="H82" i="5"/>
  <c r="P11" i="5" s="1"/>
  <c r="H83" i="5"/>
  <c r="P12" i="5" s="1"/>
  <c r="H84" i="5"/>
  <c r="P13" i="5" s="1"/>
  <c r="H85" i="5"/>
  <c r="P14" i="5" s="1"/>
  <c r="H86" i="5"/>
  <c r="P15" i="5" s="1"/>
  <c r="H87" i="5"/>
  <c r="P16" i="5" s="1"/>
  <c r="H88" i="5"/>
  <c r="P17" i="5" s="1"/>
  <c r="H89" i="5"/>
  <c r="P18" i="5" s="1"/>
  <c r="H32" i="5"/>
  <c r="D9" i="5" s="1"/>
  <c r="D6" i="6"/>
  <c r="D6" i="5" l="1"/>
  <c r="M6" i="5"/>
</calcChain>
</file>

<file path=xl/sharedStrings.xml><?xml version="1.0" encoding="utf-8"?>
<sst xmlns="http://schemas.openxmlformats.org/spreadsheetml/2006/main" count="1141" uniqueCount="1002">
  <si>
    <t>Name (Vanilla)</t>
  </si>
  <si>
    <t>Offset</t>
  </si>
  <si>
    <t>Move ID</t>
  </si>
  <si>
    <t>Move Name</t>
  </si>
  <si>
    <t>Headbutt</t>
  </si>
  <si>
    <t>Helping Hand</t>
  </si>
  <si>
    <t>Magnet Rise</t>
  </si>
  <si>
    <t>Mud-Slap</t>
  </si>
  <si>
    <t>Rollout</t>
  </si>
  <si>
    <t>Signal Beam</t>
  </si>
  <si>
    <t>Snore</t>
  </si>
  <si>
    <t>Swift</t>
  </si>
  <si>
    <t>Uproar</t>
  </si>
  <si>
    <t>Mew</t>
  </si>
  <si>
    <t>Pichu</t>
  </si>
  <si>
    <t>Deoxys</t>
  </si>
  <si>
    <t>Dive</t>
  </si>
  <si>
    <t>Fury Cutter</t>
  </si>
  <si>
    <t>Icy Wind</t>
  </si>
  <si>
    <t>Fire Punch</t>
  </si>
  <si>
    <t>Superpower</t>
  </si>
  <si>
    <t>Ice Punch</t>
  </si>
  <si>
    <t>Iron Head</t>
  </si>
  <si>
    <t>Aqua Tail</t>
  </si>
  <si>
    <t>Ominous Wind</t>
  </si>
  <si>
    <t>Gastro Acid</t>
  </si>
  <si>
    <t>Spite</t>
  </si>
  <si>
    <t>Air Cutter</t>
  </si>
  <si>
    <t>Endeavor</t>
  </si>
  <si>
    <t>Outrage</t>
  </si>
  <si>
    <t>Synthesis</t>
  </si>
  <si>
    <t>Zen Headbutt</t>
  </si>
  <si>
    <t>Vacuum Wave</t>
  </si>
  <si>
    <t>Earth Power</t>
  </si>
  <si>
    <t>Gunk Shot</t>
  </si>
  <si>
    <t>Twister</t>
  </si>
  <si>
    <t>Seed Bomb</t>
  </si>
  <si>
    <t>Iron Defense</t>
  </si>
  <si>
    <t>Last Resort</t>
  </si>
  <si>
    <t>Bounce</t>
  </si>
  <si>
    <t>Trick</t>
  </si>
  <si>
    <t>Heat Wave</t>
  </si>
  <si>
    <t>Knock Off</t>
  </si>
  <si>
    <t>Sucker Punch</t>
  </si>
  <si>
    <t>Super Fang</t>
  </si>
  <si>
    <t>Pain Split</t>
  </si>
  <si>
    <t>String Shot</t>
  </si>
  <si>
    <t>Tailwind</t>
  </si>
  <si>
    <t>Gravity</t>
  </si>
  <si>
    <t>Worry Seed</t>
  </si>
  <si>
    <t>Magic Coat</t>
  </si>
  <si>
    <t>Role Play</t>
  </si>
  <si>
    <t>Heal Bell</t>
  </si>
  <si>
    <t>Low Kick</t>
  </si>
  <si>
    <t>Sky Attack</t>
  </si>
  <si>
    <t>Block</t>
  </si>
  <si>
    <t>Bug Bite</t>
  </si>
  <si>
    <t>Unused</t>
  </si>
  <si>
    <t>#</t>
  </si>
  <si>
    <t>Y/N</t>
  </si>
  <si>
    <t>N</t>
  </si>
  <si>
    <t xml:space="preserve">Hex: </t>
  </si>
  <si>
    <t xml:space="preserve">Offset: </t>
  </si>
  <si>
    <t xml:space="preserve">ID (National Dex #): 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</si>
  <si>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</si>
  <si>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</si>
  <si>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</si>
  <si>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</si>
  <si>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</si>
  <si>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</si>
  <si>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</si>
  <si>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</si>
  <si>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</si>
  <si>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</si>
  <si>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</si>
  <si>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</si>
  <si>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</si>
  <si>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</si>
  <si>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</si>
  <si>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</si>
  <si>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</si>
  <si>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</si>
  <si>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</si>
  <si>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</si>
  <si>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</si>
  <si>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</si>
  <si>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</si>
  <si>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</si>
  <si>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</si>
  <si>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</si>
  <si>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</si>
  <si>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</si>
  <si>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</si>
  <si>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</si>
  <si>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</si>
  <si>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</si>
  <si>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</si>
  <si>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</si>
  <si>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</si>
  <si>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</si>
  <si>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</si>
  <si>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</si>
  <si>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</si>
  <si>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</si>
  <si>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</si>
  <si>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</si>
  <si>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</si>
  <si>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</si>
  <si>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</si>
  <si>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</si>
  <si>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</si>
  <si>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</si>
  <si>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</si>
  <si>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</si>
  <si>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</si>
  <si>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</si>
  <si>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</si>
  <si>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</si>
  <si>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</si>
  <si>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</si>
  <si>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</si>
  <si>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</si>
  <si>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</si>
  <si>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</si>
  <si>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</si>
  <si>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</si>
  <si>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</si>
  <si>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</si>
  <si>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</si>
  <si>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</si>
  <si>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</si>
  <si>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</si>
  <si>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</si>
  <si>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</si>
  <si>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</si>
  <si>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</si>
  <si>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</si>
  <si>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</si>
  <si>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</si>
  <si>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</si>
  <si>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</si>
  <si>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</si>
  <si>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</si>
  <si>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</si>
  <si>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</si>
  <si>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</si>
  <si>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</si>
  <si>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</si>
  <si>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</si>
  <si>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</si>
  <si>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</si>
  <si>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</si>
  <si>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</si>
  <si>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</si>
  <si>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</si>
  <si>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</si>
  <si>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</si>
  <si>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</si>
  <si>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</si>
  <si>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</si>
  <si>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</si>
  <si>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</si>
  <si>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</si>
  <si>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</si>
  <si>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</si>
  <si>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</si>
  <si>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</si>
  <si>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</si>
  <si>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</si>
  <si>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</si>
  <si>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</si>
  <si>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</si>
  <si>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</si>
  <si>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</si>
  <si>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</si>
  <si>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</si>
  <si>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</si>
  <si>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</si>
  <si>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</si>
  <si>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</si>
  <si>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</si>
  <si>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</si>
  <si>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</si>
  <si>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</si>
  <si>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</si>
  <si>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</si>
  <si>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</si>
  <si>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</si>
  <si>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</si>
  <si>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</si>
  <si>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</si>
  <si>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</si>
  <si>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</si>
  <si>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</si>
  <si>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</si>
  <si>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</si>
  <si>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</si>
  <si>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</si>
  <si>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</si>
  <si>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</si>
  <si>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</si>
  <si>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</si>
  <si>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</si>
  <si>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</si>
  <si>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</si>
  <si>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</si>
  <si>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</si>
  <si>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</si>
  <si>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</si>
  <si>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</si>
  <si>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</si>
  <si>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</si>
  <si>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</si>
  <si>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</si>
  <si>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</si>
  <si>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</si>
  <si>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</si>
  <si>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</si>
  <si>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</si>
  <si>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</si>
  <si>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</si>
  <si>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</si>
  <si>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</si>
  <si>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</si>
  <si>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</si>
  <si>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</si>
  <si>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</si>
  <si>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</si>
  <si>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</si>
  <si>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</si>
  <si>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</si>
  <si>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</si>
  <si>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</si>
  <si>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</si>
  <si>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</si>
  <si>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</si>
  <si>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</si>
  <si>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</si>
  <si>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</si>
  <si>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</si>
  <si>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</si>
  <si>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</si>
  <si>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</si>
  <si>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</si>
  <si>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</si>
  <si>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</si>
  <si>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</si>
  <si>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</si>
  <si>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</si>
  <si>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</si>
  <si>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</si>
  <si>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</si>
  <si>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</si>
  <si>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</si>
  <si>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</si>
  <si>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</si>
  <si>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</si>
  <si>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</si>
  <si>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</si>
  <si>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</si>
  <si>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</si>
  <si>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</si>
  <si>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</si>
  <si>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</si>
  <si>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</si>
  <si>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</si>
  <si>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</si>
  <si>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</si>
  <si>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</si>
  <si>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</si>
  <si>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</si>
  <si>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</si>
  <si>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</si>
  <si>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</si>
  <si>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</si>
  <si>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</si>
  <si>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</si>
  <si>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</si>
  <si>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</si>
  <si>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</si>
  <si>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</si>
  <si>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</si>
  <si>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</si>
  <si>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</si>
  <si>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</si>
  <si>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</si>
  <si>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</si>
  <si>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</si>
  <si>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</si>
  <si>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</si>
  <si>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</si>
  <si>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</si>
  <si>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</si>
  <si>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</si>
  <si>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</si>
  <si>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</si>
  <si>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</si>
  <si>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</si>
  <si>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</si>
  <si>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</si>
  <si>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</si>
  <si>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</si>
  <si>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</si>
  <si>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</si>
  <si>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</si>
  <si>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</si>
  <si>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</si>
  <si>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</si>
  <si>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</si>
  <si>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</si>
  <si>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</si>
  <si>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</si>
  <si>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</si>
  <si>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</si>
  <si>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</si>
  <si>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</si>
  <si>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</si>
  <si>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</si>
  <si>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</si>
  <si>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</si>
  <si>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</si>
  <si>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</si>
  <si>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</si>
  <si>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</si>
  <si>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</si>
  <si>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</si>
  <si>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</si>
  <si>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</si>
  <si>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</si>
  <si>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</si>
  <si>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</si>
  <si>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</si>
  <si>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</si>
  <si>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</si>
  <si>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</si>
  <si>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</si>
  <si>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</si>
  <si>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</si>
  <si>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</si>
  <si>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</si>
  <si>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</si>
  <si>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</si>
  <si>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</si>
  <si>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</si>
  <si>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</si>
  <si>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</si>
  <si>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</si>
  <si>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</si>
  <si>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</si>
  <si>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</si>
  <si>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</si>
  <si>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</si>
  <si>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</si>
  <si>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</si>
  <si>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</si>
  <si>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</si>
  <si>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</si>
  <si>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</si>
  <si>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</si>
  <si>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</si>
  <si>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</si>
  <si>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</si>
  <si>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</si>
  <si>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</si>
  <si>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</si>
  <si>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</si>
  <si>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</si>
  <si>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</si>
  <si>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</si>
  <si>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</si>
  <si>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</si>
  <si>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</si>
  <si>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</si>
  <si>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</si>
  <si>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</si>
  <si>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</si>
  <si>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</si>
  <si>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</si>
  <si>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</si>
  <si>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</si>
  <si>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</si>
  <si>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</si>
  <si>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</si>
  <si>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</si>
  <si>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</si>
  <si>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</si>
  <si>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</si>
  <si>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</si>
  <si>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</si>
  <si>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</si>
  <si>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</si>
  <si>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</si>
  <si>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</si>
  <si>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</si>
  <si>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</si>
  <si>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</si>
  <si>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</si>
  <si>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</si>
  <si>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</si>
  <si>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</si>
  <si>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</si>
  <si>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</si>
  <si>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</si>
  <si>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</si>
  <si>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</si>
  <si>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</si>
  <si>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</si>
  <si>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</si>
  <si>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</si>
  <si>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</si>
  <si>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</si>
  <si>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</si>
  <si>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</si>
  <si>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</si>
  <si>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</si>
  <si>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</si>
  <si>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</si>
  <si>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</si>
  <si>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</si>
  <si>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</si>
  <si>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</si>
  <si>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</si>
  <si>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</si>
  <si>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</si>
  <si>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</si>
  <si>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</si>
  <si>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</si>
  <si>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</si>
  <si>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</si>
  <si>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</si>
  <si>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</si>
  <si>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</si>
  <si>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</si>
  <si>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</si>
  <si>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</si>
  <si>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</si>
  <si>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</si>
  <si>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</si>
  <si>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</si>
  <si>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</si>
  <si>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</si>
  <si>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</si>
  <si>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</si>
  <si>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</si>
  <si>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</si>
  <si>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</si>
  <si>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</si>
  <si>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</si>
  <si>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</si>
  <si>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</si>
  <si>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</si>
  <si>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</si>
  <si>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</si>
  <si>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</si>
  <si>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</si>
  <si>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</si>
  <si>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</si>
  <si>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</si>
  <si>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</si>
  <si>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</si>
  <si>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</si>
  <si>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</si>
  <si>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</si>
  <si>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</si>
  <si>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</si>
  <si>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</si>
  <si>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</si>
  <si>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</si>
  <si>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</si>
  <si>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</si>
  <si>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</si>
  <si>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</si>
  <si>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</si>
  <si>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</si>
  <si>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</si>
  <si>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</si>
  <si>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</si>
  <si>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</si>
  <si>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</si>
  <si>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</si>
  <si>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</si>
  <si>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</si>
  <si>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</si>
  <si>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</si>
  <si>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</si>
  <si>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</si>
  <si>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</si>
  <si>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</si>
  <si>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</si>
  <si>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</si>
  <si>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</si>
  <si>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</si>
  <si>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</si>
  <si>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</si>
  <si>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</si>
  <si>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</si>
  <si>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</si>
  <si>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</si>
  <si>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</si>
  <si>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</si>
  <si>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</si>
  <si>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</si>
  <si>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</si>
  <si>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</si>
  <si>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</si>
  <si>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</si>
  <si>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</si>
  <si>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</si>
  <si>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</si>
  <si>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</si>
  <si>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</si>
  <si>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</si>
  <si>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</si>
  <si>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</si>
  <si>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</si>
  <si>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</si>
  <si>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</si>
  <si>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</si>
  <si>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</si>
  <si>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</si>
  <si>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</si>
  <si>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</si>
  <si>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</si>
  <si>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</si>
  <si>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</si>
  <si>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</si>
  <si>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</si>
  <si>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</si>
  <si>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</si>
  <si>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</si>
  <si>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</si>
  <si>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</si>
  <si>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</si>
  <si>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</si>
  <si>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</si>
  <si>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</si>
  <si>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</si>
  <si>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</si>
  <si>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</si>
  <si>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</si>
  <si>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</si>
  <si>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</si>
  <si>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</si>
  <si>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</si>
  <si>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</si>
  <si>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</si>
  <si>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</si>
  <si>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</si>
  <si>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</si>
  <si>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</si>
  <si>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</si>
  <si>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</si>
  <si>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</si>
  <si>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</si>
  <si>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Deoxys (ATK)</t>
  </si>
  <si>
    <t>Deoxys (DEF)</t>
  </si>
  <si>
    <t>Deoxys (SPD)</t>
  </si>
  <si>
    <t>Wormadam (SAND)</t>
  </si>
  <si>
    <t>Wormadam (TRASH)</t>
  </si>
  <si>
    <t>Shaymin (SKYE)</t>
  </si>
  <si>
    <t>Rotom (HEAT)</t>
  </si>
  <si>
    <t>Rotom (WASH)</t>
  </si>
  <si>
    <t>Rotom (FROST)</t>
  </si>
  <si>
    <t>Rotom (FAN)</t>
  </si>
  <si>
    <t>Rotom (MOW)</t>
  </si>
  <si>
    <t>Giratina (ORIGIN)</t>
  </si>
  <si>
    <t>Attract</t>
  </si>
  <si>
    <t>Shadow Ball</t>
  </si>
  <si>
    <t>DynamicPunch</t>
  </si>
  <si>
    <t>Iron Tail</t>
  </si>
  <si>
    <t>-</t>
  </si>
  <si>
    <t>Submission</t>
  </si>
  <si>
    <t>Cut</t>
  </si>
  <si>
    <t>Surf</t>
  </si>
  <si>
    <t>Strength</t>
  </si>
  <si>
    <t>Struggle</t>
  </si>
  <si>
    <t>Rock Smash</t>
  </si>
  <si>
    <t>Skill Swap</t>
  </si>
  <si>
    <t>Secret Power</t>
  </si>
  <si>
    <t>Blast Burn</t>
  </si>
  <si>
    <t>Hydro Cannon</t>
  </si>
  <si>
    <t>Overheat</t>
  </si>
  <si>
    <t>Frenzy Plant</t>
  </si>
  <si>
    <t>Volt Tackle</t>
  </si>
  <si>
    <t>Drain Punch</t>
  </si>
  <si>
    <t>Focus Blast</t>
  </si>
  <si>
    <t>Rock Climb</t>
  </si>
  <si>
    <t>Defog</t>
  </si>
  <si>
    <t>Draco Meteor</t>
  </si>
  <si>
    <t>Stealth Rock</t>
  </si>
  <si>
    <t>Grass Knot</t>
  </si>
  <si>
    <t>Pay Day</t>
  </si>
  <si>
    <t>Mega Kick</t>
  </si>
  <si>
    <t>Twineedle</t>
  </si>
  <si>
    <t>Flash</t>
  </si>
  <si>
    <t>Sharpen</t>
  </si>
  <si>
    <t>Triple Kick</t>
  </si>
  <si>
    <t>Aeroblast</t>
  </si>
  <si>
    <t>Octazooka</t>
  </si>
  <si>
    <t>Milk Drink</t>
  </si>
  <si>
    <t>Steel Wing</t>
  </si>
  <si>
    <t>Return</t>
  </si>
  <si>
    <t>Present</t>
  </si>
  <si>
    <t>Frustration</t>
  </si>
  <si>
    <t>Sacred Fire</t>
  </si>
  <si>
    <t>Facade</t>
  </si>
  <si>
    <t>Focus Punch</t>
  </si>
  <si>
    <t>Luster Purge</t>
  </si>
  <si>
    <t>Mist Ball</t>
  </si>
  <si>
    <t>Teeter Dance</t>
  </si>
  <si>
    <t>Icicle Spear</t>
  </si>
  <si>
    <t>Poison Tail</t>
  </si>
  <si>
    <t>Doom Desire</t>
  </si>
  <si>
    <t>Heart Swap</t>
  </si>
  <si>
    <t>Trick Room</t>
  </si>
  <si>
    <t>Rock Wrecker</t>
  </si>
  <si>
    <t>Chatter</t>
  </si>
  <si>
    <t>Judgment</t>
  </si>
  <si>
    <t>Attack Order</t>
  </si>
  <si>
    <t>Defend Order</t>
  </si>
  <si>
    <t>Heal Order</t>
  </si>
  <si>
    <t>Roar of Time</t>
  </si>
  <si>
    <t>Spacial Rend</t>
  </si>
  <si>
    <t>Lunar Dance</t>
  </si>
  <si>
    <t>Crush Grip</t>
  </si>
  <si>
    <t>Magma Storm</t>
  </si>
  <si>
    <t>Dark Void</t>
  </si>
  <si>
    <t>Fly</t>
  </si>
  <si>
    <t>Rolling Kick</t>
  </si>
  <si>
    <t>Waterfall</t>
  </si>
  <si>
    <t>Clamp</t>
  </si>
  <si>
    <t>Kinesis</t>
  </si>
  <si>
    <t>Softboiled</t>
  </si>
  <si>
    <t>Barrage</t>
  </si>
  <si>
    <t>Lovely Kiss</t>
  </si>
  <si>
    <t>Transform</t>
  </si>
  <si>
    <t>Bonemerang</t>
  </si>
  <si>
    <t>Thief</t>
  </si>
  <si>
    <t>Spider Web</t>
  </si>
  <si>
    <t>Morning Sun</t>
  </si>
  <si>
    <t>SmellingSalt</t>
  </si>
  <si>
    <t>Camouflage</t>
  </si>
  <si>
    <t>Tail Glow</t>
  </si>
  <si>
    <t>Blaze Kick</t>
  </si>
  <si>
    <t>Needle Arm</t>
  </si>
  <si>
    <t>Avalanche</t>
  </si>
  <si>
    <t>Seed Flare</t>
  </si>
  <si>
    <t>Shadow Force</t>
  </si>
  <si>
    <t>Mega Punch</t>
  </si>
  <si>
    <t>Jump Kick</t>
  </si>
  <si>
    <t>Egg Bomb</t>
  </si>
  <si>
    <t>Bone Club</t>
  </si>
  <si>
    <t>Spike Cannon</t>
  </si>
  <si>
    <t>Hi Jump Kick</t>
  </si>
  <si>
    <t>Spore</t>
  </si>
  <si>
    <t>Conversion</t>
  </si>
  <si>
    <t>Conversion 2</t>
  </si>
  <si>
    <t>Bone Rush</t>
  </si>
  <si>
    <t>Beat Up</t>
  </si>
  <si>
    <t>Torment</t>
  </si>
  <si>
    <t>Assist</t>
  </si>
  <si>
    <t>Brick Break</t>
  </si>
  <si>
    <t>Arm Thrust</t>
  </si>
  <si>
    <t>Ice Ball</t>
  </si>
  <si>
    <t>Meteor Mash</t>
  </si>
  <si>
    <t>Water Spout</t>
  </si>
  <si>
    <t>Bulk Up</t>
  </si>
  <si>
    <t>Trump Card</t>
  </si>
  <si>
    <t>Switcheroo</t>
  </si>
  <si>
    <t>Flash Cannon</t>
  </si>
  <si>
    <t>Head Smash</t>
  </si>
  <si>
    <t>Skull Bash</t>
  </si>
  <si>
    <t>Glare</t>
  </si>
  <si>
    <t>Crabhammer</t>
  </si>
  <si>
    <t>Hyper Fang</t>
  </si>
  <si>
    <t>Sleep Talk</t>
  </si>
  <si>
    <t>Snatch</t>
  </si>
  <si>
    <t>FeatherDance</t>
  </si>
  <si>
    <t>Crush Claw</t>
  </si>
  <si>
    <t>Weather Ball</t>
  </si>
  <si>
    <t>Shadow Punch</t>
  </si>
  <si>
    <t>Sky Uppercut</t>
  </si>
  <si>
    <t>Psycho Boost</t>
  </si>
  <si>
    <t>Acupressure</t>
  </si>
  <si>
    <t>Bullet Punch</t>
  </si>
  <si>
    <t>Cross Poison</t>
  </si>
  <si>
    <t>Karate Chop</t>
  </si>
  <si>
    <t>Comet Punch</t>
  </si>
  <si>
    <t>Thunderbolt</t>
  </si>
  <si>
    <t>Dizzy Punch</t>
  </si>
  <si>
    <t>Acid Armor</t>
  </si>
  <si>
    <t>Nightmare</t>
  </si>
  <si>
    <t>Cross Chop</t>
  </si>
  <si>
    <t>Follow Me</t>
  </si>
  <si>
    <t>Nature Power</t>
  </si>
  <si>
    <t>Recycle</t>
  </si>
  <si>
    <t>Grudge</t>
  </si>
  <si>
    <t>Miracle Eye</t>
  </si>
  <si>
    <t>Pluck</t>
  </si>
  <si>
    <t>Power Trick</t>
  </si>
  <si>
    <t>Brave Bird</t>
  </si>
  <si>
    <t>Shadow Claw</t>
  </si>
  <si>
    <t>Mirror Shot</t>
  </si>
  <si>
    <t>Power Whip</t>
  </si>
  <si>
    <t>Magnet Bomb</t>
  </si>
  <si>
    <t>Charge Beam</t>
  </si>
  <si>
    <t>Wood Hammer</t>
  </si>
  <si>
    <t>Razor Wind</t>
  </si>
  <si>
    <t>Mimic</t>
  </si>
  <si>
    <t>Tri Attack</t>
  </si>
  <si>
    <t>Mach Punch</t>
  </si>
  <si>
    <t>Vital Throw</t>
  </si>
  <si>
    <t>ExtremeSpeed</t>
  </si>
  <si>
    <t>Will-O-Wisp</t>
  </si>
  <si>
    <t>Eruption</t>
  </si>
  <si>
    <t>GrassWhistle</t>
  </si>
  <si>
    <t>Leaf Blade</t>
  </si>
  <si>
    <t>Metal Burst</t>
  </si>
  <si>
    <t>Power Swap</t>
  </si>
  <si>
    <t>Guard Swap</t>
  </si>
  <si>
    <t>Energy Ball</t>
  </si>
  <si>
    <t>Giga Impact</t>
  </si>
  <si>
    <t>Psycho Cut</t>
  </si>
  <si>
    <t>Guillotine</t>
  </si>
  <si>
    <t>Horn Drill</t>
  </si>
  <si>
    <t>Toxic</t>
  </si>
  <si>
    <t>Metronome</t>
  </si>
  <si>
    <t>Sludge</t>
  </si>
  <si>
    <t>Belly Drum</t>
  </si>
  <si>
    <t>Flatter</t>
  </si>
  <si>
    <t>Slack Off</t>
  </si>
  <si>
    <t>Rock Tomb</t>
  </si>
  <si>
    <t>Force Palm</t>
  </si>
  <si>
    <t>Dragon Rush</t>
  </si>
  <si>
    <t>ViceGrip</t>
  </si>
  <si>
    <t>Drill Peck</t>
  </si>
  <si>
    <t>Petal Dance</t>
  </si>
  <si>
    <t>Meditate</t>
  </si>
  <si>
    <t>Barrier</t>
  </si>
  <si>
    <t>Cotton Spore</t>
  </si>
  <si>
    <t>Sludge Bomb</t>
  </si>
  <si>
    <t>Spikes</t>
  </si>
  <si>
    <t>Megahorn</t>
  </si>
  <si>
    <t>Moonlight</t>
  </si>
  <si>
    <t>Wish</t>
  </si>
  <si>
    <t>Aromatherapy</t>
  </si>
  <si>
    <t>Tickle</t>
  </si>
  <si>
    <t>Muddy Water</t>
  </si>
  <si>
    <t>Bullet Seed</t>
  </si>
  <si>
    <t>Punishment</t>
  </si>
  <si>
    <t>Flare Blitz</t>
  </si>
  <si>
    <t>Aura Sphere</t>
  </si>
  <si>
    <t>Bind</t>
  </si>
  <si>
    <t>Seismic Toss</t>
  </si>
  <si>
    <t>Mirror Move</t>
  </si>
  <si>
    <t>Substitute</t>
  </si>
  <si>
    <t>Mind Reader</t>
  </si>
  <si>
    <t>Flame Wheel</t>
  </si>
  <si>
    <t>Fake Tears</t>
  </si>
  <si>
    <t>Covet</t>
  </si>
  <si>
    <t>Shock Wave</t>
  </si>
  <si>
    <t>U-turn</t>
  </si>
  <si>
    <t>Heal Block</t>
  </si>
  <si>
    <t>Rock Polish</t>
  </si>
  <si>
    <t>Dragon Pulse</t>
  </si>
  <si>
    <t>Double Hit</t>
  </si>
  <si>
    <t>Vine Whip</t>
  </si>
  <si>
    <t>Double Kick</t>
  </si>
  <si>
    <t>Horn Attack</t>
  </si>
  <si>
    <t>Pin Missile</t>
  </si>
  <si>
    <t>Ice Beam</t>
  </si>
  <si>
    <t>Fissure</t>
  </si>
  <si>
    <t>Dig</t>
  </si>
  <si>
    <t>Minimize</t>
  </si>
  <si>
    <t>Fire Blast</t>
  </si>
  <si>
    <t>Dream Eater</t>
  </si>
  <si>
    <t>Psywave</t>
  </si>
  <si>
    <t>Sketch</t>
  </si>
  <si>
    <t>Reversal</t>
  </si>
  <si>
    <t>False Swipe</t>
  </si>
  <si>
    <t>Mirror Coat</t>
  </si>
  <si>
    <t>Hail</t>
  </si>
  <si>
    <t>Hyper Voice</t>
  </si>
  <si>
    <t>Poison Fang</t>
  </si>
  <si>
    <t>Silver Wind</t>
  </si>
  <si>
    <t>Cosmic Power</t>
  </si>
  <si>
    <t>Sheer Cold</t>
  </si>
  <si>
    <t>Aerial Ace</t>
  </si>
  <si>
    <t>Dragon Dance</t>
  </si>
  <si>
    <t>Aqua Jet</t>
  </si>
  <si>
    <t>ThunderPunch</t>
  </si>
  <si>
    <t>Dragon Rage</t>
  </si>
  <si>
    <t>Perish Song</t>
  </si>
  <si>
    <t>Magnitude</t>
  </si>
  <si>
    <t>Hidden Power</t>
  </si>
  <si>
    <t>Imprison</t>
  </si>
  <si>
    <t>Hammer Arm</t>
  </si>
  <si>
    <t>Embargo</t>
  </si>
  <si>
    <t>Psycho Shift</t>
  </si>
  <si>
    <t>Me First</t>
  </si>
  <si>
    <t>Dark Pulse</t>
  </si>
  <si>
    <t>SonicBoom</t>
  </si>
  <si>
    <t>Acid</t>
  </si>
  <si>
    <t>Counter</t>
  </si>
  <si>
    <t>Selfdestruct</t>
  </si>
  <si>
    <t>Poison Gas</t>
  </si>
  <si>
    <t>Rock Slide</t>
  </si>
  <si>
    <t>Sweet Kiss</t>
  </si>
  <si>
    <t>Lock-On</t>
  </si>
  <si>
    <t>Memento</t>
  </si>
  <si>
    <t>Dragon Claw</t>
  </si>
  <si>
    <t>Healing Wish</t>
  </si>
  <si>
    <t>Ice Shard</t>
  </si>
  <si>
    <t>Aurora Beam</t>
  </si>
  <si>
    <t>Smog</t>
  </si>
  <si>
    <t>Zap Cannon</t>
  </si>
  <si>
    <t>Ingrain</t>
  </si>
  <si>
    <t>Revenge</t>
  </si>
  <si>
    <t>Refresh</t>
  </si>
  <si>
    <t>Mud Shot</t>
  </si>
  <si>
    <t>Rock Blast</t>
  </si>
  <si>
    <t>Wake-Up Slap</t>
  </si>
  <si>
    <t>Toxic Spikes</t>
  </si>
  <si>
    <t>X-Scissor</t>
  </si>
  <si>
    <t>Bug Buzz</t>
  </si>
  <si>
    <t>Shadow Sneak</t>
  </si>
  <si>
    <t>SolarBeam</t>
  </si>
  <si>
    <t>Thunder</t>
  </si>
  <si>
    <t>Reflect</t>
  </si>
  <si>
    <t>Destiny Bond</t>
  </si>
  <si>
    <t>DragonBreath</t>
  </si>
  <si>
    <t>Sunny Day</t>
  </si>
  <si>
    <t>Psych Up</t>
  </si>
  <si>
    <t>Fake Out</t>
  </si>
  <si>
    <t>Spit Up</t>
  </si>
  <si>
    <t>Swallow</t>
  </si>
  <si>
    <t>Sand Tomb</t>
  </si>
  <si>
    <t>Howl</t>
  </si>
  <si>
    <t>Calm Mind</t>
  </si>
  <si>
    <t>Close Combat</t>
  </si>
  <si>
    <t>Lucky Chant</t>
  </si>
  <si>
    <t>Copycat</t>
  </si>
  <si>
    <t>Leaf Storm</t>
  </si>
  <si>
    <t>DoubleSlap</t>
  </si>
  <si>
    <t>Rock Throw</t>
  </si>
  <si>
    <t>Haze</t>
  </si>
  <si>
    <t>Bide</t>
  </si>
  <si>
    <t>Leech Life</t>
  </si>
  <si>
    <t>Splash</t>
  </si>
  <si>
    <t>Mean Look</t>
  </si>
  <si>
    <t>Rapid Spin</t>
  </si>
  <si>
    <t>Stockpile</t>
  </si>
  <si>
    <t>Metal Sound</t>
  </si>
  <si>
    <t>Extrasensory</t>
  </si>
  <si>
    <t>Roost</t>
  </si>
  <si>
    <t>Lava Plume</t>
  </si>
  <si>
    <t>Stone Edge</t>
  </si>
  <si>
    <t>Swords Dance</t>
  </si>
  <si>
    <t>Whirlwind</t>
  </si>
  <si>
    <t>Blizzard</t>
  </si>
  <si>
    <t>Teleport</t>
  </si>
  <si>
    <t>Withdraw</t>
  </si>
  <si>
    <t>Lick</t>
  </si>
  <si>
    <t>Detect</t>
  </si>
  <si>
    <t>Giga Drain</t>
  </si>
  <si>
    <t>Whirlpool</t>
  </si>
  <si>
    <t>Fling</t>
  </si>
  <si>
    <t>Poison Jab</t>
  </si>
  <si>
    <t>Power Gem</t>
  </si>
  <si>
    <t>Thrash</t>
  </si>
  <si>
    <t>Sing</t>
  </si>
  <si>
    <t>Sleep Powder</t>
  </si>
  <si>
    <t>Constrict</t>
  </si>
  <si>
    <t>Spark</t>
  </si>
  <si>
    <t>Powder Snow</t>
  </si>
  <si>
    <t>Gyro Ball</t>
  </si>
  <si>
    <t>Wring Out</t>
  </si>
  <si>
    <t>Fire Spin</t>
  </si>
  <si>
    <t>Night Shade</t>
  </si>
  <si>
    <t>Odor Sleuth</t>
  </si>
  <si>
    <t>Brine</t>
  </si>
  <si>
    <t>Endure</t>
  </si>
  <si>
    <t>Metal Claw</t>
  </si>
  <si>
    <t>Magical Leaf</t>
  </si>
  <si>
    <t>Aqua Ring</t>
  </si>
  <si>
    <t>Wrap</t>
  </si>
  <si>
    <t>Thunder Fang</t>
  </si>
  <si>
    <t>Mud Bomb</t>
  </si>
  <si>
    <t>Flamethrower</t>
  </si>
  <si>
    <t>Light Screen</t>
  </si>
  <si>
    <t>Explosion</t>
  </si>
  <si>
    <t>Sandstorm</t>
  </si>
  <si>
    <t>Charge</t>
  </si>
  <si>
    <t>Assurance</t>
  </si>
  <si>
    <t>Gust</t>
  </si>
  <si>
    <t>Roar</t>
  </si>
  <si>
    <t>Mist</t>
  </si>
  <si>
    <t>Night Slash</t>
  </si>
  <si>
    <t>Stomp</t>
  </si>
  <si>
    <t>Body Slam</t>
  </si>
  <si>
    <t>Rage</t>
  </si>
  <si>
    <t>SmokeScreen</t>
  </si>
  <si>
    <t>Curse</t>
  </si>
  <si>
    <t>Taunt</t>
  </si>
  <si>
    <t>Water Sport</t>
  </si>
  <si>
    <t>Air Slash</t>
  </si>
  <si>
    <t>Nasty Plot</t>
  </si>
  <si>
    <t>Fire Fang</t>
  </si>
  <si>
    <t>Captivate</t>
  </si>
  <si>
    <t>Wing Attack</t>
  </si>
  <si>
    <t>Disable</t>
  </si>
  <si>
    <t>Mega Drain</t>
  </si>
  <si>
    <t>Leech Seed</t>
  </si>
  <si>
    <t>Razor Leaf</t>
  </si>
  <si>
    <t>Stun Spore</t>
  </si>
  <si>
    <t>Recover</t>
  </si>
  <si>
    <t>Baton Pass</t>
  </si>
  <si>
    <t>Encore</t>
  </si>
  <si>
    <t>Yawn</t>
  </si>
  <si>
    <t>Natural Gift</t>
  </si>
  <si>
    <t>Payback</t>
  </si>
  <si>
    <t>Ice Fang</t>
  </si>
  <si>
    <t>Slam</t>
  </si>
  <si>
    <t>Foresight</t>
  </si>
  <si>
    <t>Feint</t>
  </si>
  <si>
    <t>Hyper Beam</t>
  </si>
  <si>
    <t>PoisonPowder</t>
  </si>
  <si>
    <t>ThunderShock</t>
  </si>
  <si>
    <t>Flail</t>
  </si>
  <si>
    <t>Charm</t>
  </si>
  <si>
    <t>Rain Dance</t>
  </si>
  <si>
    <t>Fury Attack</t>
  </si>
  <si>
    <t>Growth</t>
  </si>
  <si>
    <t>Earthquake</t>
  </si>
  <si>
    <t>Sweet Scent</t>
  </si>
  <si>
    <t>Pound</t>
  </si>
  <si>
    <t>Poison Sting</t>
  </si>
  <si>
    <t>Absorb</t>
  </si>
  <si>
    <t>Hypnosis</t>
  </si>
  <si>
    <t>Bubble</t>
  </si>
  <si>
    <t>Future Sight</t>
  </si>
  <si>
    <t>Peck</t>
  </si>
  <si>
    <t>Swagger</t>
  </si>
  <si>
    <t>Mud Sport</t>
  </si>
  <si>
    <t>Psybeam</t>
  </si>
  <si>
    <t>Thunder Wave</t>
  </si>
  <si>
    <t>Discharge</t>
  </si>
  <si>
    <t>BubbleBeam</t>
  </si>
  <si>
    <t>Double Team</t>
  </si>
  <si>
    <t>Rest</t>
  </si>
  <si>
    <t>Defense Curl</t>
  </si>
  <si>
    <t>Water Pulse</t>
  </si>
  <si>
    <t>Amnesia</t>
  </si>
  <si>
    <t>Fury Swipes</t>
  </si>
  <si>
    <t>Safeguard</t>
  </si>
  <si>
    <t>Protect</t>
  </si>
  <si>
    <t>Pursuit</t>
  </si>
  <si>
    <t>Psychic</t>
  </si>
  <si>
    <t>Supersonic</t>
  </si>
  <si>
    <t>Hydro Pump</t>
  </si>
  <si>
    <t>Confuse Ray</t>
  </si>
  <si>
    <t>Faint Attack</t>
  </si>
  <si>
    <t>Double-Edge</t>
  </si>
  <si>
    <t>Ember</t>
  </si>
  <si>
    <t>AncientPower</t>
  </si>
  <si>
    <t>Slash</t>
  </si>
  <si>
    <t>Harden</t>
  </si>
  <si>
    <t>Focus Energy</t>
  </si>
  <si>
    <t>Astonish</t>
  </si>
  <si>
    <t>Scary Face</t>
  </si>
  <si>
    <t>Crunch</t>
  </si>
  <si>
    <t>Scratch</t>
  </si>
  <si>
    <t>Sand-Attack</t>
  </si>
  <si>
    <t>Tail Whip</t>
  </si>
  <si>
    <t>Confusion</t>
  </si>
  <si>
    <t>Take Down</t>
  </si>
  <si>
    <t>Water Gun</t>
  </si>
  <si>
    <t>Screech</t>
  </si>
  <si>
    <t>Agility</t>
  </si>
  <si>
    <t>Bite</t>
  </si>
  <si>
    <t>Quick Attack</t>
  </si>
  <si>
    <t>Growl</t>
  </si>
  <si>
    <t>Leer</t>
  </si>
  <si>
    <t>Tackle</t>
  </si>
  <si>
    <t>HeartGold &amp; SoulSilver Versions</t>
  </si>
  <si>
    <t>Platinum Version</t>
  </si>
  <si>
    <t>Overlay 5</t>
  </si>
  <si>
    <t>waza_oshie.bin</t>
  </si>
  <si>
    <t>Dex ID</t>
  </si>
  <si>
    <t>BP Cost</t>
  </si>
  <si>
    <t>Tutor ID</t>
  </si>
  <si>
    <t>Hex</t>
  </si>
  <si>
    <r>
      <t xml:space="preserve">This section contains the </t>
    </r>
    <r>
      <rPr>
        <b/>
        <sz val="11"/>
        <rFont val="Calibri"/>
        <family val="2"/>
        <scheme val="minor"/>
      </rPr>
      <t>entire</t>
    </r>
    <r>
      <rPr>
        <sz val="11"/>
        <rFont val="Calibri"/>
        <family val="2"/>
        <scheme val="minor"/>
      </rPr>
      <t xml:space="preserve"> Move Tutor block of Hex</t>
    </r>
  </si>
  <si>
    <t>Yellow</t>
  </si>
  <si>
    <t>Green</t>
  </si>
  <si>
    <t>Blue</t>
  </si>
  <si>
    <t>Red</t>
  </si>
  <si>
    <t>overlay_0001.bin</t>
  </si>
  <si>
    <r>
      <rPr>
        <b/>
        <sz val="11"/>
        <rFont val="Calibri"/>
        <family val="2"/>
      </rPr>
      <t xml:space="preserve">↓ </t>
    </r>
    <r>
      <rPr>
        <b/>
        <sz val="11"/>
        <rFont val="Calibri"/>
        <family val="2"/>
        <scheme val="minor"/>
      </rPr>
      <t>Shards Price ↓</t>
    </r>
  </si>
  <si>
    <t>Tutorable Moves (incl. Costs &amp; Tutor IDs)</t>
  </si>
  <si>
    <t>Tutorable Moves (Pokémon Compatibility)</t>
  </si>
  <si>
    <t>SunfloraOrBust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</si>
</sst>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2">
    <border>
      <left/>
      <right/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0" tint="-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medium">
        <color theme="0" tint="-0.499984740745262"/>
      </top>
      <bottom style="medium">
        <color theme="1" tint="0.499984740745262"/>
      </bottom>
      <diagonal/>
    </border>
    <border>
      <left style="medium">
        <color theme="0" tint="-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0" tint="-0.499984740745262"/>
      </left>
      <right/>
      <top style="thin">
        <color theme="1" tint="0.499984740745262"/>
      </top>
      <bottom style="medium">
        <color theme="0" tint="-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medium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0" tint="-0.499984740745262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Fill="1"/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2" fillId="2" borderId="18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0" fillId="6" borderId="0" xfId="0" applyFill="1" applyBorder="1"/>
    <xf numFmtId="0" fontId="1" fillId="6" borderId="0" xfId="0" applyFont="1" applyFill="1" applyBorder="1" applyAlignment="1">
      <alignment horizontal="right"/>
    </xf>
    <xf numFmtId="0" fontId="0" fillId="6" borderId="0" xfId="0" applyFill="1" applyBorder="1" applyAlignment="1"/>
    <xf numFmtId="0" fontId="4" fillId="6" borderId="0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/>
    </xf>
    <xf numFmtId="0" fontId="0" fillId="6" borderId="0" xfId="0" applyFill="1" applyBorder="1" applyAlignment="1">
      <alignment horizontal="center" vertical="center"/>
    </xf>
    <xf numFmtId="0" fontId="0" fillId="5" borderId="0" xfId="0" applyFill="1" applyBorder="1"/>
    <xf numFmtId="0" fontId="1" fillId="5" borderId="0" xfId="0" applyFont="1" applyFill="1" applyBorder="1" applyAlignment="1">
      <alignment horizontal="right"/>
    </xf>
    <xf numFmtId="0" fontId="0" fillId="5" borderId="0" xfId="0" applyFill="1" applyBorder="1" applyAlignment="1"/>
    <xf numFmtId="0" fontId="0" fillId="6" borderId="28" xfId="0" applyFill="1" applyBorder="1"/>
    <xf numFmtId="0" fontId="0" fillId="6" borderId="29" xfId="0" applyFill="1" applyBorder="1"/>
    <xf numFmtId="0" fontId="1" fillId="6" borderId="28" xfId="0" applyFont="1" applyFill="1" applyBorder="1"/>
    <xf numFmtId="0" fontId="1" fillId="6" borderId="0" xfId="0" applyFont="1" applyFill="1" applyBorder="1"/>
    <xf numFmtId="0" fontId="1" fillId="6" borderId="29" xfId="0" applyFont="1" applyFill="1" applyBorder="1"/>
    <xf numFmtId="0" fontId="0" fillId="6" borderId="30" xfId="0" applyFill="1" applyBorder="1"/>
    <xf numFmtId="0" fontId="2" fillId="6" borderId="31" xfId="0" applyFont="1" applyFill="1" applyBorder="1" applyAlignment="1">
      <alignment horizontal="center"/>
    </xf>
    <xf numFmtId="0" fontId="0" fillId="6" borderId="31" xfId="0" applyFill="1" applyBorder="1"/>
    <xf numFmtId="0" fontId="0" fillId="6" borderId="31" xfId="0" applyFill="1" applyBorder="1" applyAlignment="1">
      <alignment horizontal="center" vertical="center"/>
    </xf>
    <xf numFmtId="0" fontId="0" fillId="6" borderId="32" xfId="0" applyFill="1" applyBorder="1"/>
    <xf numFmtId="0" fontId="0" fillId="5" borderId="28" xfId="0" applyFill="1" applyBorder="1"/>
    <xf numFmtId="0" fontId="2" fillId="5" borderId="0" xfId="0" applyFont="1" applyFill="1" applyBorder="1" applyAlignment="1">
      <alignment horizontal="center"/>
    </xf>
    <xf numFmtId="0" fontId="0" fillId="5" borderId="29" xfId="0" applyFill="1" applyBorder="1"/>
    <xf numFmtId="0" fontId="1" fillId="5" borderId="28" xfId="0" applyFont="1" applyFill="1" applyBorder="1"/>
    <xf numFmtId="0" fontId="1" fillId="5" borderId="0" xfId="0" applyFont="1" applyFill="1" applyBorder="1"/>
    <xf numFmtId="0" fontId="1" fillId="5" borderId="29" xfId="0" applyFont="1" applyFill="1" applyBorder="1"/>
    <xf numFmtId="0" fontId="0" fillId="5" borderId="30" xfId="0" applyFill="1" applyBorder="1"/>
    <xf numFmtId="0" fontId="2" fillId="5" borderId="31" xfId="0" applyFont="1" applyFill="1" applyBorder="1" applyAlignment="1">
      <alignment horizontal="center"/>
    </xf>
    <xf numFmtId="0" fontId="0" fillId="5" borderId="31" xfId="0" applyFill="1" applyBorder="1"/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/>
    <xf numFmtId="0" fontId="7" fillId="6" borderId="33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Fill="1"/>
    <xf numFmtId="0" fontId="0" fillId="2" borderId="34" xfId="0" applyFill="1" applyBorder="1" applyAlignment="1">
      <alignment horizontal="center" vertical="center"/>
    </xf>
    <xf numFmtId="0" fontId="1" fillId="10" borderId="34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38" xfId="0" applyFont="1" applyFill="1" applyBorder="1" applyAlignment="1">
      <alignment horizontal="center" vertical="center"/>
    </xf>
    <xf numFmtId="0" fontId="1" fillId="10" borderId="39" xfId="0" applyFont="1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6" borderId="28" xfId="0" applyFont="1" applyFill="1" applyBorder="1"/>
    <xf numFmtId="0" fontId="0" fillId="6" borderId="0" xfId="0" applyFont="1" applyFill="1" applyBorder="1" applyAlignment="1"/>
    <xf numFmtId="0" fontId="0" fillId="5" borderId="28" xfId="0" applyFont="1" applyFill="1" applyBorder="1"/>
    <xf numFmtId="0" fontId="0" fillId="5" borderId="0" xfId="0" applyFont="1" applyFill="1" applyBorder="1" applyAlignment="1"/>
    <xf numFmtId="0" fontId="1" fillId="5" borderId="0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0" xfId="0" applyFont="1" applyFill="1" applyBorder="1"/>
    <xf numFmtId="0" fontId="0" fillId="5" borderId="30" xfId="0" applyFont="1" applyFill="1" applyBorder="1"/>
    <xf numFmtId="0" fontId="0" fillId="5" borderId="29" xfId="0" applyFont="1" applyFill="1" applyBorder="1"/>
    <xf numFmtId="0" fontId="0" fillId="5" borderId="31" xfId="0" applyFont="1" applyFill="1" applyBorder="1"/>
    <xf numFmtId="0" fontId="0" fillId="5" borderId="32" xfId="0" applyFont="1" applyFill="1" applyBorder="1"/>
    <xf numFmtId="0" fontId="0" fillId="5" borderId="29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/>
    </xf>
    <xf numFmtId="0" fontId="0" fillId="6" borderId="29" xfId="0" applyFont="1" applyFill="1" applyBorder="1" applyAlignment="1">
      <alignment horizontal="center" vertical="center"/>
    </xf>
    <xf numFmtId="0" fontId="0" fillId="6" borderId="29" xfId="0" applyFont="1" applyFill="1" applyBorder="1"/>
    <xf numFmtId="0" fontId="0" fillId="6" borderId="32" xfId="0" applyFont="1" applyFill="1" applyBorder="1"/>
    <xf numFmtId="0" fontId="0" fillId="6" borderId="30" xfId="0" applyFont="1" applyFill="1" applyBorder="1"/>
    <xf numFmtId="0" fontId="0" fillId="6" borderId="31" xfId="0" applyFont="1" applyFill="1" applyBorder="1"/>
    <xf numFmtId="0" fontId="0" fillId="6" borderId="0" xfId="0" applyFont="1" applyFill="1" applyBorder="1"/>
    <xf numFmtId="0" fontId="1" fillId="11" borderId="34" xfId="0" applyFont="1" applyFill="1" applyBorder="1" applyAlignment="1">
      <alignment horizontal="center" vertical="center"/>
    </xf>
    <xf numFmtId="0" fontId="1" fillId="11" borderId="38" xfId="0" applyFont="1" applyFill="1" applyBorder="1" applyAlignment="1">
      <alignment horizontal="center" vertical="center"/>
    </xf>
    <xf numFmtId="0" fontId="1" fillId="11" borderId="39" xfId="0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center"/>
    </xf>
    <xf numFmtId="0" fontId="11" fillId="11" borderId="16" xfId="0" applyFont="1" applyFill="1" applyBorder="1" applyAlignment="1">
      <alignment horizontal="center" vertical="center"/>
    </xf>
    <xf numFmtId="0" fontId="11" fillId="11" borderId="17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5" borderId="0" xfId="0" applyFont="1" applyFill="1" applyBorder="1" applyAlignment="1">
      <alignment horizontal="right"/>
    </xf>
    <xf numFmtId="0" fontId="9" fillId="5" borderId="0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horizontal="right"/>
    </xf>
    <xf numFmtId="0" fontId="9" fillId="6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11" fillId="10" borderId="15" xfId="0" applyFont="1" applyFill="1" applyBorder="1" applyAlignment="1">
      <alignment horizontal="center"/>
    </xf>
    <xf numFmtId="0" fontId="1" fillId="10" borderId="16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0" fillId="0" borderId="0" xfId="0" applyFont="1" applyFill="1"/>
    <xf numFmtId="0" fontId="0" fillId="0" borderId="6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3" borderId="9" xfId="0" applyFill="1" applyBorder="1" applyAlignment="1" applyProtection="1">
      <alignment horizontal="center" vertic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0" borderId="34" xfId="0" applyBorder="1" applyAlignment="1" applyProtection="1">
      <alignment horizontal="center"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0" fontId="8" fillId="9" borderId="9" xfId="0" applyFont="1" applyFill="1" applyBorder="1" applyAlignment="1" applyProtection="1">
      <alignment horizontal="center" vertical="center"/>
      <protection locked="0"/>
    </xf>
    <xf numFmtId="0" fontId="0" fillId="12" borderId="34" xfId="0" applyFill="1" applyBorder="1" applyAlignment="1" applyProtection="1">
      <alignment horizontal="center" vertical="center"/>
      <protection locked="0"/>
    </xf>
    <xf numFmtId="0" fontId="0" fillId="13" borderId="34" xfId="0" applyFill="1" applyBorder="1" applyAlignment="1" applyProtection="1">
      <alignment horizontal="center" vertical="center"/>
      <protection locked="0"/>
    </xf>
    <xf numFmtId="0" fontId="0" fillId="14" borderId="34" xfId="0" applyFill="1" applyBorder="1" applyAlignment="1" applyProtection="1">
      <alignment horizontal="center" vertical="center"/>
      <protection locked="0"/>
    </xf>
    <xf numFmtId="0" fontId="0" fillId="3" borderId="34" xfId="0" applyFill="1" applyBorder="1" applyAlignment="1" applyProtection="1">
      <alignment horizontal="center" vertical="center"/>
      <protection locked="0"/>
    </xf>
    <xf numFmtId="0" fontId="8" fillId="9" borderId="34" xfId="0" applyFont="1" applyFill="1" applyBorder="1" applyAlignment="1" applyProtection="1">
      <alignment horizontal="center" vertical="center"/>
      <protection locked="0"/>
    </xf>
    <xf numFmtId="0" fontId="0" fillId="12" borderId="44" xfId="0" applyFill="1" applyBorder="1" applyAlignment="1" applyProtection="1">
      <alignment horizontal="center" vertical="center"/>
      <protection locked="0"/>
    </xf>
    <xf numFmtId="0" fontId="0" fillId="13" borderId="44" xfId="0" applyFill="1" applyBorder="1" applyAlignment="1" applyProtection="1">
      <alignment horizontal="center" vertical="center"/>
      <protection locked="0"/>
    </xf>
    <xf numFmtId="0" fontId="0" fillId="14" borderId="44" xfId="0" applyFill="1" applyBorder="1" applyAlignment="1" applyProtection="1">
      <alignment horizontal="center" vertical="center"/>
      <protection locked="0"/>
    </xf>
    <xf numFmtId="0" fontId="0" fillId="3" borderId="44" xfId="0" applyFill="1" applyBorder="1" applyAlignment="1" applyProtection="1">
      <alignment horizontal="center" vertical="center"/>
      <protection locked="0"/>
    </xf>
    <xf numFmtId="0" fontId="8" fillId="9" borderId="44" xfId="0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Alignment="1">
      <alignment horizontal="center" vertical="center" wrapText="1"/>
    </xf>
    <xf numFmtId="0" fontId="0" fillId="0" borderId="34" xfId="0" applyBorder="1" applyAlignment="1" applyProtection="1">
      <alignment horizontal="center" vertical="center"/>
      <protection locked="0"/>
    </xf>
    <xf numFmtId="0" fontId="3" fillId="7" borderId="10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8" fillId="9" borderId="8" xfId="0" applyFont="1" applyFill="1" applyBorder="1" applyAlignment="1" applyProtection="1">
      <alignment horizontal="center" vertical="center"/>
      <protection locked="0"/>
    </xf>
    <xf numFmtId="0" fontId="8" fillId="9" borderId="9" xfId="0" applyFont="1" applyFill="1" applyBorder="1" applyAlignment="1" applyProtection="1">
      <alignment horizontal="center" vertical="center"/>
      <protection locked="0"/>
    </xf>
    <xf numFmtId="0" fontId="5" fillId="8" borderId="25" xfId="0" applyFont="1" applyFill="1" applyBorder="1" applyAlignment="1">
      <alignment horizontal="right" vertical="center"/>
    </xf>
    <xf numFmtId="0" fontId="5" fillId="8" borderId="26" xfId="0" applyFont="1" applyFill="1" applyBorder="1" applyAlignment="1">
      <alignment horizontal="right" vertical="center"/>
    </xf>
    <xf numFmtId="0" fontId="5" fillId="8" borderId="30" xfId="0" applyFont="1" applyFill="1" applyBorder="1" applyAlignment="1">
      <alignment horizontal="right" vertical="center"/>
    </xf>
    <xf numFmtId="0" fontId="5" fillId="8" borderId="31" xfId="0" applyFont="1" applyFill="1" applyBorder="1" applyAlignment="1">
      <alignment horizontal="right" vertical="center"/>
    </xf>
    <xf numFmtId="0" fontId="6" fillId="8" borderId="26" xfId="0" applyFont="1" applyFill="1" applyBorder="1" applyAlignment="1">
      <alignment horizontal="left" vertical="center"/>
    </xf>
    <xf numFmtId="0" fontId="6" fillId="8" borderId="27" xfId="0" applyFont="1" applyFill="1" applyBorder="1" applyAlignment="1">
      <alignment horizontal="left" vertical="center"/>
    </xf>
    <xf numFmtId="0" fontId="6" fillId="8" borderId="31" xfId="0" applyFont="1" applyFill="1" applyBorder="1" applyAlignment="1">
      <alignment horizontal="left" vertical="center"/>
    </xf>
    <xf numFmtId="0" fontId="6" fillId="8" borderId="32" xfId="0" applyFont="1" applyFill="1" applyBorder="1" applyAlignment="1">
      <alignment horizontal="left" vertical="center"/>
    </xf>
    <xf numFmtId="0" fontId="5" fillId="8" borderId="26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1" fillId="10" borderId="39" xfId="0" applyFont="1" applyFill="1" applyBorder="1" applyAlignment="1">
      <alignment horizontal="center" vertical="center"/>
    </xf>
    <xf numFmtId="0" fontId="1" fillId="10" borderId="40" xfId="0" applyFont="1" applyFill="1" applyBorder="1" applyAlignment="1">
      <alignment horizontal="center" vertical="center"/>
    </xf>
    <xf numFmtId="0" fontId="8" fillId="9" borderId="34" xfId="0" applyFont="1" applyFill="1" applyBorder="1" applyAlignment="1" applyProtection="1">
      <alignment horizontal="center" vertical="center"/>
      <protection locked="0"/>
    </xf>
    <xf numFmtId="0" fontId="8" fillId="9" borderId="42" xfId="0" applyFont="1" applyFill="1" applyBorder="1" applyAlignment="1" applyProtection="1">
      <alignment horizontal="center" vertical="center"/>
      <protection locked="0"/>
    </xf>
    <xf numFmtId="0" fontId="8" fillId="9" borderId="44" xfId="0" applyFont="1" applyFill="1" applyBorder="1" applyAlignment="1" applyProtection="1">
      <alignment horizontal="center" vertical="center"/>
      <protection locked="0"/>
    </xf>
    <xf numFmtId="0" fontId="8" fillId="9" borderId="45" xfId="0" applyFont="1" applyFill="1" applyBorder="1" applyAlignment="1" applyProtection="1">
      <alignment horizontal="center"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0" fontId="8" fillId="9" borderId="34" xfId="0" applyFont="1" applyFill="1" applyBorder="1" applyAlignment="1" applyProtection="1">
      <alignment horizontal="left" vertical="center" wrapText="1"/>
      <protection locked="0"/>
    </xf>
    <xf numFmtId="0" fontId="1" fillId="10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" fillId="11" borderId="49" xfId="0" applyFont="1" applyFill="1" applyBorder="1" applyAlignment="1">
      <alignment horizontal="center" vertical="center"/>
    </xf>
    <xf numFmtId="0" fontId="1" fillId="11" borderId="53" xfId="0" applyFont="1" applyFill="1" applyBorder="1" applyAlignment="1">
      <alignment horizontal="center" vertical="center"/>
    </xf>
    <xf numFmtId="0" fontId="1" fillId="11" borderId="50" xfId="0" applyFont="1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5" fillId="4" borderId="25" xfId="0" applyFont="1" applyFill="1" applyBorder="1" applyAlignment="1">
      <alignment horizontal="right" vertical="center"/>
    </xf>
    <xf numFmtId="0" fontId="5" fillId="4" borderId="26" xfId="0" applyFont="1" applyFill="1" applyBorder="1" applyAlignment="1">
      <alignment horizontal="right" vertical="center"/>
    </xf>
    <xf numFmtId="0" fontId="5" fillId="4" borderId="30" xfId="0" applyFont="1" applyFill="1" applyBorder="1" applyAlignment="1">
      <alignment horizontal="right" vertical="center"/>
    </xf>
    <xf numFmtId="0" fontId="5" fillId="4" borderId="31" xfId="0" applyFont="1" applyFill="1" applyBorder="1" applyAlignment="1">
      <alignment horizontal="right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left" vertical="center"/>
    </xf>
    <xf numFmtId="0" fontId="6" fillId="4" borderId="27" xfId="0" applyFont="1" applyFill="1" applyBorder="1" applyAlignment="1">
      <alignment horizontal="left" vertical="center"/>
    </xf>
    <xf numFmtId="0" fontId="6" fillId="4" borderId="31" xfId="0" applyFont="1" applyFill="1" applyBorder="1" applyAlignment="1">
      <alignment horizontal="left" vertical="center"/>
    </xf>
    <xf numFmtId="0" fontId="6" fillId="4" borderId="32" xfId="0" applyFont="1" applyFill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1" fillId="11" borderId="39" xfId="0" applyFont="1" applyFill="1" applyBorder="1" applyAlignment="1">
      <alignment horizontal="center" vertical="center"/>
    </xf>
    <xf numFmtId="0" fontId="1" fillId="11" borderId="40" xfId="0" applyFont="1" applyFill="1" applyBorder="1" applyAlignment="1">
      <alignment horizontal="center" vertical="center"/>
    </xf>
    <xf numFmtId="0" fontId="1" fillId="11" borderId="34" xfId="0" applyFont="1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1" fillId="2" borderId="10" xfId="0" applyFont="1" applyFill="1" applyBorder="1" applyAlignment="1">
      <alignment horizontal="right"/>
    </xf>
    <xf numFmtId="0" fontId="1" fillId="2" borderId="46" xfId="0" applyFont="1" applyFill="1" applyBorder="1" applyAlignment="1">
      <alignment horizontal="right"/>
    </xf>
    <xf numFmtId="0" fontId="1" fillId="2" borderId="54" xfId="0" applyFont="1" applyFill="1" applyBorder="1" applyAlignment="1">
      <alignment horizontal="right"/>
    </xf>
    <xf numFmtId="0" fontId="11" fillId="11" borderId="25" xfId="0" applyFont="1" applyFill="1" applyBorder="1" applyAlignment="1">
      <alignment horizontal="center" vertical="center"/>
    </xf>
    <xf numFmtId="0" fontId="11" fillId="11" borderId="26" xfId="0" applyFont="1" applyFill="1" applyBorder="1" applyAlignment="1">
      <alignment horizontal="center" vertical="center"/>
    </xf>
    <xf numFmtId="0" fontId="11" fillId="11" borderId="27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11" fillId="11" borderId="46" xfId="0" applyFont="1" applyFill="1" applyBorder="1" applyAlignment="1">
      <alignment horizontal="center" vertical="center"/>
    </xf>
    <xf numFmtId="0" fontId="11" fillId="11" borderId="54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</cellXfs>
  <cellStyles count="1">
    <cellStyle name="Normal" xfId="0" builtinId="0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b val="0"/>
        <i/>
        <color theme="0" tint="-0.499984740745262"/>
      </font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499984740745262"/>
      </font>
      <fill>
        <patternFill>
          <bgColor theme="0" tint="-4.9989318521683403E-2"/>
        </patternFill>
      </fill>
    </dxf>
    <dxf>
      <font>
        <b val="0"/>
        <i/>
        <color theme="0" tint="-0.499984740745262"/>
      </font>
      <fill>
        <patternFill>
          <bgColor theme="0" tint="-4.9989318521683403E-2"/>
        </patternFill>
      </fill>
    </dxf>
    <dxf>
      <font>
        <b val="0"/>
        <i/>
        <color theme="0" tint="-0.499984740745262"/>
      </font>
      <fill>
        <patternFill>
          <bgColor theme="0" tint="-4.9989318521683403E-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/>
        <color theme="0" tint="-0.499984740745262"/>
      </font>
      <fill>
        <patternFill>
          <bgColor theme="0" tint="-4.9989318521683403E-2"/>
        </patternFill>
      </fill>
    </dxf>
    <dxf>
      <font>
        <b val="0"/>
        <i/>
        <color theme="0" tint="-0.499984740745262"/>
      </font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b val="0"/>
        <i/>
        <color theme="0" tint="-0.499984740745262"/>
      </font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499984740745262"/>
      </font>
      <fill>
        <patternFill>
          <bgColor theme="0" tint="-4.9989318521683403E-2"/>
        </patternFill>
      </fill>
    </dxf>
    <dxf>
      <font>
        <b val="0"/>
        <i/>
        <color theme="0" tint="-0.499984740745262"/>
      </font>
      <fill>
        <patternFill>
          <bgColor theme="0" tint="-4.9989318521683403E-2"/>
        </patternFill>
      </fill>
    </dxf>
    <dxf>
      <font>
        <b val="0"/>
        <i/>
        <color theme="0" tint="-0.499984740745262"/>
      </font>
      <fill>
        <patternFill>
          <bgColor theme="0" tint="-4.9989318521683403E-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B174"/>
  <sheetViews>
    <sheetView tabSelected="1" zoomScaleNormal="100" workbookViewId="0">
      <selection activeCell="E5" sqref="E5"/>
    </sheetView>
  </sheetViews>
  <sheetFormatPr defaultRowHeight="15" x14ac:dyDescent="0.25"/>
  <cols>
    <col min="1" max="2" width="4.140625" customWidth="1"/>
    <col min="3" max="3" width="4.140625" style="6" customWidth="1"/>
    <col min="4" max="4" width="18.7109375" customWidth="1"/>
    <col min="6" max="6" width="4.140625" style="7" customWidth="1"/>
    <col min="7" max="7" width="4.140625" style="6" customWidth="1"/>
    <col min="8" max="8" width="18.7109375" customWidth="1"/>
    <col min="10" max="10" width="4.140625" style="7" customWidth="1"/>
    <col min="11" max="11" width="4.140625" style="6" customWidth="1"/>
    <col min="12" max="12" width="18.7109375" customWidth="1"/>
    <col min="14" max="14" width="4.140625" style="7" customWidth="1"/>
    <col min="15" max="15" width="4.140625" style="6" customWidth="1"/>
    <col min="16" max="16" width="18.7109375" customWidth="1"/>
    <col min="18" max="19" width="4.140625" customWidth="1"/>
  </cols>
  <sheetData>
    <row r="1" spans="2:18" ht="15.75" thickBot="1" x14ac:dyDescent="0.3"/>
    <row r="2" spans="2:18" ht="15" customHeight="1" x14ac:dyDescent="0.25">
      <c r="B2" s="129" t="s">
        <v>984</v>
      </c>
      <c r="C2" s="130"/>
      <c r="D2" s="130"/>
      <c r="E2" s="130"/>
      <c r="F2" s="130"/>
      <c r="G2" s="130"/>
      <c r="H2" s="130"/>
      <c r="I2" s="130"/>
      <c r="J2" s="137" t="s">
        <v>570</v>
      </c>
      <c r="K2" s="133" t="s">
        <v>1000</v>
      </c>
      <c r="L2" s="133"/>
      <c r="M2" s="133"/>
      <c r="N2" s="133"/>
      <c r="O2" s="133"/>
      <c r="P2" s="133"/>
      <c r="Q2" s="133"/>
      <c r="R2" s="134"/>
    </row>
    <row r="3" spans="2:18" ht="15.75" customHeight="1" thickBot="1" x14ac:dyDescent="0.3">
      <c r="B3" s="131"/>
      <c r="C3" s="132"/>
      <c r="D3" s="132"/>
      <c r="E3" s="132"/>
      <c r="F3" s="132"/>
      <c r="G3" s="132"/>
      <c r="H3" s="132"/>
      <c r="I3" s="132"/>
      <c r="J3" s="138"/>
      <c r="K3" s="135"/>
      <c r="L3" s="135"/>
      <c r="M3" s="135"/>
      <c r="N3" s="135"/>
      <c r="O3" s="135"/>
      <c r="P3" s="135"/>
      <c r="Q3" s="135"/>
      <c r="R3" s="136"/>
    </row>
    <row r="4" spans="2:18" ht="15.75" thickBot="1" x14ac:dyDescent="0.3">
      <c r="B4" s="38"/>
      <c r="C4" s="39"/>
      <c r="D4" s="25"/>
      <c r="E4" s="25"/>
      <c r="F4" s="25"/>
      <c r="G4" s="39"/>
      <c r="H4" s="25"/>
      <c r="I4" s="25"/>
      <c r="J4" s="25"/>
      <c r="K4" s="39"/>
      <c r="L4" s="25"/>
      <c r="M4" s="25"/>
      <c r="N4" s="25"/>
      <c r="O4" s="39"/>
      <c r="P4" s="25"/>
      <c r="Q4" s="25"/>
      <c r="R4" s="40"/>
    </row>
    <row r="5" spans="2:18" ht="15.75" thickBot="1" x14ac:dyDescent="0.3">
      <c r="B5" s="38"/>
      <c r="C5" s="39"/>
      <c r="D5" s="14" t="s">
        <v>63</v>
      </c>
      <c r="E5" s="108">
        <v>1</v>
      </c>
      <c r="F5" s="25"/>
      <c r="G5" s="39"/>
      <c r="H5" s="26"/>
      <c r="I5" s="50" t="s">
        <v>987</v>
      </c>
      <c r="J5" s="25"/>
      <c r="K5" s="39"/>
      <c r="L5" s="26"/>
      <c r="M5" s="27"/>
      <c r="N5" s="27"/>
      <c r="O5" s="27"/>
      <c r="P5" s="27"/>
      <c r="Q5" s="27"/>
      <c r="R5" s="40"/>
    </row>
    <row r="6" spans="2:18" ht="15.75" thickBot="1" x14ac:dyDescent="0.3">
      <c r="B6" s="38"/>
      <c r="C6" s="39"/>
      <c r="D6" s="125" t="str">
        <f>VLOOKUP(E5,Lookups!A:B,2,0)</f>
        <v>Bulbasaur</v>
      </c>
      <c r="E6" s="126"/>
      <c r="F6" s="25"/>
      <c r="G6" s="39"/>
      <c r="H6" s="14" t="s">
        <v>62</v>
      </c>
      <c r="I6" s="112" t="str">
        <f>(DEC2HEX((E5-1)*8))</f>
        <v>0</v>
      </c>
      <c r="J6" s="25"/>
      <c r="K6" s="39"/>
      <c r="L6" s="14" t="s">
        <v>61</v>
      </c>
      <c r="M6" s="127" t="str">
        <f>IF(LEN(BIN2HEX(SUBSTITUTE(SUBSTITUTE(E16&amp;E15&amp;E14&amp;E13&amp;E12&amp;E11&amp;E10&amp;E9,"N",0),"Y",1)))=1,"0"&amp;BIN2HEX(SUBSTITUTE(SUBSTITUTE(E16&amp;E15&amp;E14&amp;E13&amp;E12&amp;E11&amp;E10&amp;E9,"N",0),"Y",1)),BIN2HEX(SUBSTITUTE(SUBSTITUTE(E16&amp;E15&amp;E14&amp;E13&amp;E12&amp;E11&amp;E10&amp;E9,"N",0),"Y",1)))&amp;" "&amp;IF(LEN(BIN2HEX(SUBSTITUTE(SUBSTITUTE(E24&amp;E23&amp;E22&amp;E21&amp;E20&amp;E19&amp;E18&amp;E17,"N",0),"Y",1)))=1,"0"&amp;BIN2HEX(SUBSTITUTE(SUBSTITUTE(E24&amp;E23&amp;E22&amp;E21&amp;E20&amp;E19&amp;E18&amp;E17,"N",0),"Y",1)),BIN2HEX(SUBSTITUTE(SUBSTITUTE(E24&amp;E23&amp;E22&amp;E21&amp;E20&amp;E19&amp;E18&amp;E17,"N",0),"Y",1)))&amp;" "&amp;IF(LEN(BIN2HEX(SUBSTITUTE(SUBSTITUTE(I16&amp;I15&amp;I14&amp;I13&amp;I12&amp;I11&amp;I10&amp;I9,"N",0),"Y",1)))=1,"0"&amp;BIN2HEX(SUBSTITUTE(SUBSTITUTE(I16&amp;I15&amp;I14&amp;I13&amp;I12&amp;I11&amp;I10&amp;I9,"N",0),"Y",1)),BIN2HEX(SUBSTITUTE(SUBSTITUTE(I16&amp;I15&amp;I14&amp;I13&amp;I12&amp;I11&amp;I10&amp;I9,"N",0),"Y",1)))&amp;" "&amp;IF(LEN(BIN2HEX(SUBSTITUTE(SUBSTITUTE(I24&amp;I23&amp;I22&amp;I21&amp;I20&amp;I19&amp;I18&amp;I17,"N",0),"Y",1)))=1,"0"&amp;BIN2HEX(SUBSTITUTE(SUBSTITUTE(I24&amp;I23&amp;I22&amp;I21&amp;I20&amp;I19&amp;I18&amp;I17,"N",0),"Y",1)),BIN2HEX(SUBSTITUTE(SUBSTITUTE(I24&amp;I23&amp;I22&amp;I21&amp;I20&amp;I19&amp;I18&amp;I17,"N",0),"Y",1)))&amp;" "&amp;IF(LEN(BIN2HEX(SUBSTITUTE(SUBSTITUTE(M16&amp;M15&amp;M14&amp;M13&amp;M12&amp;M11&amp;M10&amp;M9,"N",0),"Y",1)))=1,"0"&amp;BIN2HEX(SUBSTITUTE(SUBSTITUTE(M16&amp;M15&amp;M14&amp;M13&amp;M12&amp;M11&amp;M10&amp;M9,"N",0),"Y",1)),BIN2HEX(SUBSTITUTE(SUBSTITUTE(M16&amp;M15&amp;M14&amp;M13&amp;M12&amp;M11&amp;M10&amp;M9,"N",0),"Y",1)))&amp;" "&amp;IF(LEN(BIN2HEX(SUBSTITUTE(SUBSTITUTE(M24&amp;M23&amp;M22&amp;M21&amp;M20&amp;M19&amp;M18&amp;M17,"N",0),"Y",1)))=1,"0"&amp;BIN2HEX(SUBSTITUTE(SUBSTITUTE(M24&amp;M23&amp;M22&amp;M21&amp;M20&amp;M19&amp;M18&amp;M17,"N",0),"Y",1)),BIN2HEX(SUBSTITUTE(SUBSTITUTE(M24&amp;M23&amp;M22&amp;M21&amp;M20&amp;M19&amp;M18&amp;M17,"N",0),"Y",1)))&amp;" "&amp;IF(LEN(BIN2HEX(SUBSTITUTE(SUBSTITUTE(Q16&amp;Q15&amp;Q14&amp;Q13&amp;Q12&amp;Q11&amp;Q10&amp;Q9,"N",0),"Y",1)))=1,"0"&amp;BIN2HEX(SUBSTITUTE(SUBSTITUTE(Q16&amp;Q15&amp;Q14&amp;Q13&amp;Q12&amp;Q11&amp;Q10&amp;Q9,"N",0),"Y",1)),BIN2HEX(SUBSTITUTE(SUBSTITUTE(Q16&amp;Q15&amp;Q14&amp;Q13&amp;Q12&amp;Q11&amp;Q10&amp;Q9,"N",0),"Y",1)))&amp;" "&amp;IF(LEN(BIN2HEX(SUBSTITUTE(SUBSTITUTE(Q24&amp;Q23&amp;Q22&amp;Q21&amp;Q20&amp;Q19&amp;Q18&amp;Q17,"N",0),"Y",1)))=1,"0"&amp;BIN2HEX(SUBSTITUTE(SUBSTITUTE(Q24&amp;Q23&amp;Q22&amp;Q21&amp;Q20&amp;Q19&amp;Q18&amp;Q17,"N",0),"Y",1)),BIN2HEX(SUBSTITUTE(SUBSTITUTE(Q24&amp;Q23&amp;Q22&amp;Q21&amp;Q20&amp;Q19&amp;Q18&amp;Q17,"N",0),"Y",1)))</f>
        <v>00 00 00 00 00 00 00 00</v>
      </c>
      <c r="N6" s="127"/>
      <c r="O6" s="127"/>
      <c r="P6" s="127"/>
      <c r="Q6" s="128"/>
      <c r="R6" s="40"/>
    </row>
    <row r="7" spans="2:18" ht="15.75" thickBot="1" x14ac:dyDescent="0.3">
      <c r="B7" s="38"/>
      <c r="C7" s="39"/>
      <c r="D7" s="25"/>
      <c r="E7" s="25"/>
      <c r="F7" s="25"/>
      <c r="G7" s="39"/>
      <c r="H7" s="25"/>
      <c r="I7" s="25"/>
      <c r="J7" s="25"/>
      <c r="K7" s="39"/>
      <c r="L7" s="25"/>
      <c r="M7" s="25"/>
      <c r="N7" s="25"/>
      <c r="O7" s="39"/>
      <c r="P7" s="25"/>
      <c r="Q7" s="25"/>
      <c r="R7" s="40"/>
    </row>
    <row r="8" spans="2:18" s="3" customFormat="1" ht="15.75" thickBot="1" x14ac:dyDescent="0.3">
      <c r="B8" s="41"/>
      <c r="C8" s="74" t="s">
        <v>58</v>
      </c>
      <c r="D8" s="55" t="s">
        <v>3</v>
      </c>
      <c r="E8" s="56" t="s">
        <v>59</v>
      </c>
      <c r="F8" s="42"/>
      <c r="G8" s="74" t="s">
        <v>58</v>
      </c>
      <c r="H8" s="55" t="s">
        <v>3</v>
      </c>
      <c r="I8" s="56" t="s">
        <v>59</v>
      </c>
      <c r="J8" s="42"/>
      <c r="K8" s="74" t="s">
        <v>58</v>
      </c>
      <c r="L8" s="55" t="s">
        <v>3</v>
      </c>
      <c r="M8" s="56" t="s">
        <v>59</v>
      </c>
      <c r="N8" s="42"/>
      <c r="O8" s="98" t="s">
        <v>58</v>
      </c>
      <c r="P8" s="99" t="s">
        <v>3</v>
      </c>
      <c r="Q8" s="100" t="s">
        <v>59</v>
      </c>
      <c r="R8" s="43"/>
    </row>
    <row r="9" spans="2:18" x14ac:dyDescent="0.25">
      <c r="B9" s="38"/>
      <c r="C9" s="8">
        <v>1</v>
      </c>
      <c r="D9" s="11" t="str">
        <f>VLOOKUP(C9,$E$31:$H$89,4,0)</f>
        <v>Dive</v>
      </c>
      <c r="E9" s="102" t="s">
        <v>60</v>
      </c>
      <c r="F9" s="25"/>
      <c r="G9" s="8">
        <v>17</v>
      </c>
      <c r="H9" s="11" t="str">
        <f>VLOOKUP(G9,$E$31:$H$89,4,0)</f>
        <v>Helping Hand</v>
      </c>
      <c r="I9" s="102" t="s">
        <v>60</v>
      </c>
      <c r="J9" s="25"/>
      <c r="K9" s="8">
        <v>33</v>
      </c>
      <c r="L9" s="11" t="str">
        <f>VLOOKUP(K9,$E$31:$H$89,4,0)</f>
        <v>Trick</v>
      </c>
      <c r="M9" s="102" t="s">
        <v>60</v>
      </c>
      <c r="N9" s="25"/>
      <c r="O9" s="15">
        <v>49</v>
      </c>
      <c r="P9" s="11" t="str">
        <f>VLOOKUP(O9,$E$31:$H$89,4,0)</f>
        <v>Sky Attack</v>
      </c>
      <c r="Q9" s="105" t="s">
        <v>60</v>
      </c>
      <c r="R9" s="40"/>
    </row>
    <row r="10" spans="2:18" x14ac:dyDescent="0.25">
      <c r="B10" s="38"/>
      <c r="C10" s="9">
        <v>2</v>
      </c>
      <c r="D10" s="12" t="str">
        <f t="shared" ref="D10:D24" si="0">VLOOKUP(C10,$E$31:$H$89,4,0)</f>
        <v>Mud-Slap</v>
      </c>
      <c r="E10" s="103" t="s">
        <v>60</v>
      </c>
      <c r="F10" s="25"/>
      <c r="G10" s="9">
        <v>18</v>
      </c>
      <c r="H10" s="12" t="str">
        <f t="shared" ref="H10:H24" si="1">VLOOKUP(G10,$E$31:$H$89,4,0)</f>
        <v>Endeavor</v>
      </c>
      <c r="I10" s="103" t="s">
        <v>60</v>
      </c>
      <c r="J10" s="25"/>
      <c r="K10" s="9">
        <v>34</v>
      </c>
      <c r="L10" s="12" t="str">
        <f t="shared" ref="L10:L24" si="2">VLOOKUP(K10,$E$31:$H$89,4,0)</f>
        <v>Heat Wave</v>
      </c>
      <c r="M10" s="103" t="s">
        <v>60</v>
      </c>
      <c r="N10" s="25"/>
      <c r="O10" s="16">
        <v>50</v>
      </c>
      <c r="P10" s="12" t="str">
        <f t="shared" ref="P10:P18" si="3">VLOOKUP(O10,$E$31:$H$89,4,0)</f>
        <v>Block</v>
      </c>
      <c r="Q10" s="106" t="s">
        <v>60</v>
      </c>
      <c r="R10" s="40"/>
    </row>
    <row r="11" spans="2:18" x14ac:dyDescent="0.25">
      <c r="B11" s="38"/>
      <c r="C11" s="9">
        <v>3</v>
      </c>
      <c r="D11" s="12" t="str">
        <f t="shared" si="0"/>
        <v>Fury Cutter</v>
      </c>
      <c r="E11" s="103" t="s">
        <v>60</v>
      </c>
      <c r="F11" s="25"/>
      <c r="G11" s="9">
        <v>19</v>
      </c>
      <c r="H11" s="12" t="str">
        <f t="shared" si="1"/>
        <v>Outrage</v>
      </c>
      <c r="I11" s="103" t="s">
        <v>60</v>
      </c>
      <c r="J11" s="25"/>
      <c r="K11" s="9">
        <v>35</v>
      </c>
      <c r="L11" s="12" t="str">
        <f t="shared" si="2"/>
        <v>Knock Off</v>
      </c>
      <c r="M11" s="103" t="s">
        <v>60</v>
      </c>
      <c r="N11" s="25"/>
      <c r="O11" s="16">
        <v>51</v>
      </c>
      <c r="P11" s="12" t="str">
        <f t="shared" si="3"/>
        <v>Bug Bite</v>
      </c>
      <c r="Q11" s="106" t="s">
        <v>60</v>
      </c>
      <c r="R11" s="40"/>
    </row>
    <row r="12" spans="2:18" x14ac:dyDescent="0.25">
      <c r="B12" s="38"/>
      <c r="C12" s="9">
        <v>4</v>
      </c>
      <c r="D12" s="12" t="str">
        <f t="shared" si="0"/>
        <v>Icy Wind</v>
      </c>
      <c r="E12" s="103" t="s">
        <v>60</v>
      </c>
      <c r="F12" s="25"/>
      <c r="G12" s="9">
        <v>20</v>
      </c>
      <c r="H12" s="12" t="str">
        <f t="shared" si="1"/>
        <v>AncientPower</v>
      </c>
      <c r="I12" s="103" t="s">
        <v>60</v>
      </c>
      <c r="J12" s="25"/>
      <c r="K12" s="9">
        <v>36</v>
      </c>
      <c r="L12" s="12" t="str">
        <f t="shared" si="2"/>
        <v>Sucker Punch</v>
      </c>
      <c r="M12" s="103" t="s">
        <v>60</v>
      </c>
      <c r="N12" s="25"/>
      <c r="O12" s="16">
        <v>52</v>
      </c>
      <c r="P12" s="12" t="str">
        <f t="shared" si="3"/>
        <v>Headbutt</v>
      </c>
      <c r="Q12" s="106" t="s">
        <v>60</v>
      </c>
      <c r="R12" s="40"/>
    </row>
    <row r="13" spans="2:18" x14ac:dyDescent="0.25">
      <c r="B13" s="38"/>
      <c r="C13" s="9">
        <v>5</v>
      </c>
      <c r="D13" s="12" t="str">
        <f t="shared" si="0"/>
        <v>Rollout</v>
      </c>
      <c r="E13" s="103" t="s">
        <v>60</v>
      </c>
      <c r="F13" s="25"/>
      <c r="G13" s="9">
        <v>21</v>
      </c>
      <c r="H13" s="12" t="str">
        <f t="shared" si="1"/>
        <v>Synthesis</v>
      </c>
      <c r="I13" s="103" t="s">
        <v>60</v>
      </c>
      <c r="J13" s="25"/>
      <c r="K13" s="9">
        <v>37</v>
      </c>
      <c r="L13" s="12" t="str">
        <f t="shared" si="2"/>
        <v>Swift</v>
      </c>
      <c r="M13" s="103" t="s">
        <v>60</v>
      </c>
      <c r="N13" s="25"/>
      <c r="O13" s="16">
        <v>53</v>
      </c>
      <c r="P13" s="12" t="str">
        <f t="shared" si="3"/>
        <v>Unused</v>
      </c>
      <c r="Q13" s="106" t="s">
        <v>60</v>
      </c>
      <c r="R13" s="40"/>
    </row>
    <row r="14" spans="2:18" x14ac:dyDescent="0.25">
      <c r="B14" s="38"/>
      <c r="C14" s="9">
        <v>6</v>
      </c>
      <c r="D14" s="12" t="str">
        <f t="shared" si="0"/>
        <v>ThunderPunch</v>
      </c>
      <c r="E14" s="103" t="s">
        <v>60</v>
      </c>
      <c r="F14" s="25"/>
      <c r="G14" s="9">
        <v>22</v>
      </c>
      <c r="H14" s="12" t="str">
        <f t="shared" si="1"/>
        <v>Signal Beam</v>
      </c>
      <c r="I14" s="103" t="s">
        <v>60</v>
      </c>
      <c r="J14" s="25"/>
      <c r="K14" s="9">
        <v>38</v>
      </c>
      <c r="L14" s="12" t="str">
        <f t="shared" si="2"/>
        <v>Uproar</v>
      </c>
      <c r="M14" s="103" t="s">
        <v>60</v>
      </c>
      <c r="N14" s="25"/>
      <c r="O14" s="16">
        <v>54</v>
      </c>
      <c r="P14" s="12" t="str">
        <f t="shared" si="3"/>
        <v>Unused</v>
      </c>
      <c r="Q14" s="106" t="s">
        <v>60</v>
      </c>
      <c r="R14" s="40"/>
    </row>
    <row r="15" spans="2:18" x14ac:dyDescent="0.25">
      <c r="B15" s="38"/>
      <c r="C15" s="9">
        <v>7</v>
      </c>
      <c r="D15" s="12" t="str">
        <f t="shared" si="0"/>
        <v>Fire Punch</v>
      </c>
      <c r="E15" s="103" t="s">
        <v>60</v>
      </c>
      <c r="F15" s="25"/>
      <c r="G15" s="9">
        <v>23</v>
      </c>
      <c r="H15" s="12" t="str">
        <f t="shared" si="1"/>
        <v>Zen Headbutt</v>
      </c>
      <c r="I15" s="103" t="s">
        <v>60</v>
      </c>
      <c r="J15" s="25"/>
      <c r="K15" s="9">
        <v>39</v>
      </c>
      <c r="L15" s="12" t="str">
        <f t="shared" si="2"/>
        <v>Super Fang</v>
      </c>
      <c r="M15" s="103" t="s">
        <v>60</v>
      </c>
      <c r="N15" s="25"/>
      <c r="O15" s="16">
        <v>55</v>
      </c>
      <c r="P15" s="12" t="str">
        <f t="shared" si="3"/>
        <v>Unused</v>
      </c>
      <c r="Q15" s="106" t="s">
        <v>60</v>
      </c>
      <c r="R15" s="40"/>
    </row>
    <row r="16" spans="2:18" x14ac:dyDescent="0.25">
      <c r="B16" s="38"/>
      <c r="C16" s="9">
        <v>8</v>
      </c>
      <c r="D16" s="12" t="str">
        <f t="shared" si="0"/>
        <v>Superpower</v>
      </c>
      <c r="E16" s="103" t="s">
        <v>60</v>
      </c>
      <c r="F16" s="25"/>
      <c r="G16" s="9">
        <v>24</v>
      </c>
      <c r="H16" s="12" t="str">
        <f t="shared" si="1"/>
        <v>Vacuum Wave</v>
      </c>
      <c r="I16" s="103" t="s">
        <v>60</v>
      </c>
      <c r="J16" s="25"/>
      <c r="K16" s="9">
        <v>40</v>
      </c>
      <c r="L16" s="12" t="str">
        <f t="shared" si="2"/>
        <v>Pain Split</v>
      </c>
      <c r="M16" s="103" t="s">
        <v>60</v>
      </c>
      <c r="N16" s="25"/>
      <c r="O16" s="16">
        <v>56</v>
      </c>
      <c r="P16" s="12" t="str">
        <f t="shared" si="3"/>
        <v>Unused</v>
      </c>
      <c r="Q16" s="106" t="s">
        <v>60</v>
      </c>
      <c r="R16" s="40"/>
    </row>
    <row r="17" spans="1:28" x14ac:dyDescent="0.25">
      <c r="B17" s="38"/>
      <c r="C17" s="9">
        <v>9</v>
      </c>
      <c r="D17" s="12" t="str">
        <f t="shared" si="0"/>
        <v>Ice Punch</v>
      </c>
      <c r="E17" s="103" t="s">
        <v>60</v>
      </c>
      <c r="F17" s="25"/>
      <c r="G17" s="9">
        <v>25</v>
      </c>
      <c r="H17" s="12" t="str">
        <f t="shared" si="1"/>
        <v>Earth Power</v>
      </c>
      <c r="I17" s="103" t="s">
        <v>60</v>
      </c>
      <c r="J17" s="25"/>
      <c r="K17" s="9">
        <v>41</v>
      </c>
      <c r="L17" s="12" t="str">
        <f t="shared" si="2"/>
        <v>String Shot</v>
      </c>
      <c r="M17" s="103" t="s">
        <v>60</v>
      </c>
      <c r="N17" s="25"/>
      <c r="O17" s="16">
        <v>57</v>
      </c>
      <c r="P17" s="12" t="str">
        <f t="shared" si="3"/>
        <v>Unused</v>
      </c>
      <c r="Q17" s="106" t="s">
        <v>60</v>
      </c>
      <c r="R17" s="40"/>
    </row>
    <row r="18" spans="1:28" ht="15.75" thickBot="1" x14ac:dyDescent="0.3">
      <c r="B18" s="38"/>
      <c r="C18" s="9">
        <v>10</v>
      </c>
      <c r="D18" s="12" t="str">
        <f t="shared" si="0"/>
        <v>Iron Head</v>
      </c>
      <c r="E18" s="103" t="s">
        <v>60</v>
      </c>
      <c r="F18" s="25"/>
      <c r="G18" s="9">
        <v>26</v>
      </c>
      <c r="H18" s="12" t="str">
        <f t="shared" si="1"/>
        <v>Gunk Shot</v>
      </c>
      <c r="I18" s="103" t="s">
        <v>60</v>
      </c>
      <c r="J18" s="25"/>
      <c r="K18" s="9">
        <v>42</v>
      </c>
      <c r="L18" s="12" t="str">
        <f t="shared" si="2"/>
        <v>Tailwind</v>
      </c>
      <c r="M18" s="103" t="s">
        <v>60</v>
      </c>
      <c r="N18" s="25"/>
      <c r="O18" s="17">
        <v>58</v>
      </c>
      <c r="P18" s="95" t="str">
        <f t="shared" si="3"/>
        <v>Unused</v>
      </c>
      <c r="Q18" s="107" t="s">
        <v>60</v>
      </c>
      <c r="R18" s="40"/>
    </row>
    <row r="19" spans="1:28" x14ac:dyDescent="0.25">
      <c r="B19" s="38"/>
      <c r="C19" s="9">
        <v>11</v>
      </c>
      <c r="D19" s="12" t="str">
        <f t="shared" si="0"/>
        <v>Aqua Tail</v>
      </c>
      <c r="E19" s="103" t="s">
        <v>60</v>
      </c>
      <c r="F19" s="25"/>
      <c r="G19" s="9">
        <v>27</v>
      </c>
      <c r="H19" s="12" t="str">
        <f t="shared" si="1"/>
        <v>Twister</v>
      </c>
      <c r="I19" s="103" t="s">
        <v>60</v>
      </c>
      <c r="J19" s="25"/>
      <c r="K19" s="9">
        <v>43</v>
      </c>
      <c r="L19" s="12" t="str">
        <f t="shared" si="2"/>
        <v>Gravity</v>
      </c>
      <c r="M19" s="103" t="s">
        <v>60</v>
      </c>
      <c r="N19" s="25"/>
      <c r="O19" s="39"/>
      <c r="P19" s="67"/>
      <c r="Q19" s="67"/>
      <c r="R19" s="40"/>
    </row>
    <row r="20" spans="1:28" x14ac:dyDescent="0.25">
      <c r="B20" s="38"/>
      <c r="C20" s="9">
        <v>12</v>
      </c>
      <c r="D20" s="12" t="str">
        <f t="shared" si="0"/>
        <v>Ominous Wind</v>
      </c>
      <c r="E20" s="103" t="s">
        <v>60</v>
      </c>
      <c r="F20" s="25"/>
      <c r="G20" s="9">
        <v>28</v>
      </c>
      <c r="H20" s="12" t="str">
        <f t="shared" si="1"/>
        <v>Seed Bomb</v>
      </c>
      <c r="I20" s="103" t="s">
        <v>60</v>
      </c>
      <c r="J20" s="25"/>
      <c r="K20" s="9">
        <v>44</v>
      </c>
      <c r="L20" s="12" t="str">
        <f t="shared" si="2"/>
        <v>Worry Seed</v>
      </c>
      <c r="M20" s="103" t="s">
        <v>60</v>
      </c>
      <c r="N20" s="25"/>
      <c r="O20" s="39"/>
      <c r="P20" s="67"/>
      <c r="Q20" s="67"/>
      <c r="R20" s="40"/>
    </row>
    <row r="21" spans="1:28" x14ac:dyDescent="0.25">
      <c r="B21" s="38"/>
      <c r="C21" s="9">
        <v>13</v>
      </c>
      <c r="D21" s="12" t="str">
        <f t="shared" si="0"/>
        <v>Gastro Acid</v>
      </c>
      <c r="E21" s="103" t="s">
        <v>60</v>
      </c>
      <c r="F21" s="25"/>
      <c r="G21" s="9">
        <v>29</v>
      </c>
      <c r="H21" s="12" t="str">
        <f t="shared" si="1"/>
        <v>Iron Defense</v>
      </c>
      <c r="I21" s="103" t="s">
        <v>60</v>
      </c>
      <c r="J21" s="25"/>
      <c r="K21" s="9">
        <v>45</v>
      </c>
      <c r="L21" s="12" t="str">
        <f t="shared" si="2"/>
        <v>Magic Coat</v>
      </c>
      <c r="M21" s="103" t="s">
        <v>60</v>
      </c>
      <c r="N21" s="25"/>
      <c r="O21" s="39"/>
      <c r="P21" s="67"/>
      <c r="Q21" s="67"/>
      <c r="R21" s="40"/>
    </row>
    <row r="22" spans="1:28" x14ac:dyDescent="0.25">
      <c r="B22" s="38"/>
      <c r="C22" s="9">
        <v>14</v>
      </c>
      <c r="D22" s="12" t="str">
        <f t="shared" si="0"/>
        <v>Snore</v>
      </c>
      <c r="E22" s="103" t="s">
        <v>60</v>
      </c>
      <c r="F22" s="25"/>
      <c r="G22" s="9">
        <v>30</v>
      </c>
      <c r="H22" s="12" t="str">
        <f t="shared" si="1"/>
        <v>Magnet Rise</v>
      </c>
      <c r="I22" s="103" t="s">
        <v>60</v>
      </c>
      <c r="J22" s="25"/>
      <c r="K22" s="9">
        <v>46</v>
      </c>
      <c r="L22" s="12" t="str">
        <f t="shared" si="2"/>
        <v>Role Play</v>
      </c>
      <c r="M22" s="103" t="s">
        <v>60</v>
      </c>
      <c r="N22" s="25"/>
      <c r="O22" s="39"/>
      <c r="P22" s="67"/>
      <c r="Q22" s="67"/>
      <c r="R22" s="40"/>
    </row>
    <row r="23" spans="1:28" x14ac:dyDescent="0.25">
      <c r="B23" s="38"/>
      <c r="C23" s="9">
        <v>15</v>
      </c>
      <c r="D23" s="12" t="str">
        <f t="shared" si="0"/>
        <v>Spite</v>
      </c>
      <c r="E23" s="103" t="s">
        <v>60</v>
      </c>
      <c r="F23" s="25"/>
      <c r="G23" s="9">
        <v>31</v>
      </c>
      <c r="H23" s="12" t="str">
        <f t="shared" si="1"/>
        <v>Last Resort</v>
      </c>
      <c r="I23" s="103" t="s">
        <v>60</v>
      </c>
      <c r="J23" s="25"/>
      <c r="K23" s="9">
        <v>47</v>
      </c>
      <c r="L23" s="12" t="str">
        <f t="shared" si="2"/>
        <v>Heal Bell</v>
      </c>
      <c r="M23" s="103" t="s">
        <v>60</v>
      </c>
      <c r="N23" s="25"/>
      <c r="O23" s="39"/>
      <c r="P23" s="67"/>
      <c r="Q23" s="67"/>
      <c r="R23" s="40"/>
    </row>
    <row r="24" spans="1:28" ht="15.75" thickBot="1" x14ac:dyDescent="0.3">
      <c r="B24" s="38"/>
      <c r="C24" s="10">
        <v>16</v>
      </c>
      <c r="D24" s="13" t="str">
        <f t="shared" si="0"/>
        <v>Air Cutter</v>
      </c>
      <c r="E24" s="104" t="s">
        <v>60</v>
      </c>
      <c r="F24" s="25"/>
      <c r="G24" s="10">
        <v>32</v>
      </c>
      <c r="H24" s="13" t="str">
        <f t="shared" si="1"/>
        <v>Bounce</v>
      </c>
      <c r="I24" s="104" t="s">
        <v>60</v>
      </c>
      <c r="J24" s="25"/>
      <c r="K24" s="10">
        <v>48</v>
      </c>
      <c r="L24" s="13" t="str">
        <f t="shared" si="2"/>
        <v>Low Kick</v>
      </c>
      <c r="M24" s="104" t="s">
        <v>60</v>
      </c>
      <c r="N24" s="25"/>
      <c r="O24" s="39"/>
      <c r="P24" s="67"/>
      <c r="Q24" s="67"/>
      <c r="R24" s="40"/>
    </row>
    <row r="25" spans="1:28" ht="15.75" thickBot="1" x14ac:dyDescent="0.3">
      <c r="B25" s="44"/>
      <c r="C25" s="45"/>
      <c r="D25" s="46"/>
      <c r="E25" s="46"/>
      <c r="F25" s="46"/>
      <c r="G25" s="45"/>
      <c r="H25" s="46"/>
      <c r="I25" s="46"/>
      <c r="J25" s="46"/>
      <c r="K25" s="45"/>
      <c r="L25" s="46"/>
      <c r="M25" s="46"/>
      <c r="N25" s="46"/>
      <c r="O25" s="45"/>
      <c r="P25" s="47"/>
      <c r="Q25" s="47"/>
      <c r="R25" s="48"/>
    </row>
    <row r="26" spans="1:28" ht="15.75" thickBot="1" x14ac:dyDescent="0.3">
      <c r="A26" s="51"/>
      <c r="B26" s="51"/>
      <c r="D26" s="51"/>
      <c r="E26" s="51"/>
      <c r="F26" s="52"/>
      <c r="H26" s="51"/>
      <c r="I26" s="51"/>
      <c r="J26" s="52"/>
      <c r="L26" s="51"/>
      <c r="M26" s="51"/>
      <c r="N26" s="52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</row>
    <row r="27" spans="1:28" ht="15.75" customHeight="1" x14ac:dyDescent="0.25">
      <c r="A27" s="51"/>
      <c r="B27" s="129" t="s">
        <v>984</v>
      </c>
      <c r="C27" s="130"/>
      <c r="D27" s="130"/>
      <c r="E27" s="130"/>
      <c r="F27" s="130"/>
      <c r="G27" s="130"/>
      <c r="H27" s="130"/>
      <c r="I27" s="130"/>
      <c r="J27" s="137" t="s">
        <v>570</v>
      </c>
      <c r="K27" s="133" t="s">
        <v>999</v>
      </c>
      <c r="L27" s="133"/>
      <c r="M27" s="133"/>
      <c r="N27" s="133"/>
      <c r="O27" s="133"/>
      <c r="P27" s="133"/>
      <c r="Q27" s="133"/>
      <c r="R27" s="134"/>
      <c r="S27" s="51"/>
      <c r="T27" s="51"/>
      <c r="U27" s="51"/>
      <c r="V27" s="51"/>
      <c r="W27" s="51"/>
      <c r="X27" s="51"/>
      <c r="Y27" s="51"/>
      <c r="Z27" s="51"/>
      <c r="AA27" s="51"/>
      <c r="AB27" s="51"/>
    </row>
    <row r="28" spans="1:28" ht="15.75" thickBot="1" x14ac:dyDescent="0.3">
      <c r="A28" s="51"/>
      <c r="B28" s="131"/>
      <c r="C28" s="132"/>
      <c r="D28" s="132"/>
      <c r="E28" s="132"/>
      <c r="F28" s="132"/>
      <c r="G28" s="132"/>
      <c r="H28" s="132"/>
      <c r="I28" s="132"/>
      <c r="J28" s="138"/>
      <c r="K28" s="135"/>
      <c r="L28" s="135"/>
      <c r="M28" s="135"/>
      <c r="N28" s="135"/>
      <c r="O28" s="135"/>
      <c r="P28" s="135"/>
      <c r="Q28" s="135"/>
      <c r="R28" s="136"/>
      <c r="S28" s="51"/>
      <c r="T28" s="51"/>
      <c r="U28" s="51"/>
      <c r="V28" s="51"/>
      <c r="W28" s="51"/>
      <c r="X28" s="51"/>
      <c r="Y28" s="51"/>
      <c r="Z28" s="51"/>
      <c r="AA28" s="51"/>
      <c r="AB28" s="51"/>
    </row>
    <row r="29" spans="1:28" x14ac:dyDescent="0.25">
      <c r="A29" s="51"/>
      <c r="B29" s="64"/>
      <c r="C29" s="39"/>
      <c r="D29" s="90"/>
      <c r="E29" s="68"/>
      <c r="F29" s="68"/>
      <c r="G29" s="39"/>
      <c r="H29" s="91"/>
      <c r="I29" s="91"/>
      <c r="J29" s="68"/>
      <c r="K29" s="39"/>
      <c r="L29" s="90"/>
      <c r="M29" s="65"/>
      <c r="N29" s="65"/>
      <c r="O29" s="65"/>
      <c r="P29" s="65"/>
      <c r="Q29" s="65"/>
      <c r="R29" s="70"/>
      <c r="S29" s="51"/>
      <c r="T29" s="51"/>
      <c r="U29" s="51"/>
      <c r="V29" s="51"/>
      <c r="W29" s="51"/>
      <c r="X29" s="51"/>
      <c r="Y29" s="51"/>
      <c r="Z29" s="51"/>
      <c r="AA29" s="51"/>
      <c r="AB29" s="51"/>
    </row>
    <row r="30" spans="1:28" ht="15.75" thickBot="1" x14ac:dyDescent="0.3">
      <c r="A30" s="51"/>
      <c r="B30" s="64"/>
      <c r="C30" s="39"/>
      <c r="D30" s="90"/>
      <c r="E30" s="68"/>
      <c r="F30" s="68"/>
      <c r="G30" s="39"/>
      <c r="H30" s="91"/>
      <c r="I30" s="91"/>
      <c r="J30" s="68"/>
      <c r="K30" s="39"/>
      <c r="L30" s="96" t="s">
        <v>997</v>
      </c>
      <c r="M30" s="65"/>
      <c r="N30" s="65"/>
      <c r="O30" s="65"/>
      <c r="P30" s="65"/>
      <c r="Q30" s="65"/>
      <c r="R30" s="70"/>
      <c r="S30" s="51"/>
      <c r="T30" s="51"/>
      <c r="U30" s="51"/>
      <c r="V30" s="51"/>
      <c r="W30" s="51"/>
      <c r="X30" s="51"/>
      <c r="Y30" s="51"/>
      <c r="Z30" s="51"/>
      <c r="AA30" s="51"/>
      <c r="AB30" s="51"/>
    </row>
    <row r="31" spans="1:28" x14ac:dyDescent="0.25">
      <c r="A31" s="51"/>
      <c r="B31" s="64"/>
      <c r="C31" s="39"/>
      <c r="D31" s="66"/>
      <c r="E31" s="57" t="s">
        <v>58</v>
      </c>
      <c r="F31" s="139" t="s">
        <v>2</v>
      </c>
      <c r="G31" s="139"/>
      <c r="H31" s="58" t="s">
        <v>3</v>
      </c>
      <c r="I31" s="58" t="s">
        <v>989</v>
      </c>
      <c r="J31" s="139" t="s">
        <v>990</v>
      </c>
      <c r="K31" s="139"/>
      <c r="L31" s="58" t="s">
        <v>1</v>
      </c>
      <c r="M31" s="139" t="s">
        <v>991</v>
      </c>
      <c r="N31" s="139"/>
      <c r="O31" s="139"/>
      <c r="P31" s="139"/>
      <c r="Q31" s="140"/>
      <c r="R31" s="73"/>
      <c r="S31" s="51"/>
      <c r="T31" s="51"/>
      <c r="U31" s="51"/>
      <c r="V31" s="51"/>
      <c r="W31" s="51"/>
      <c r="X31" s="51"/>
      <c r="Y31" s="51"/>
      <c r="Z31" s="51"/>
      <c r="AA31" s="51"/>
      <c r="AB31" s="51"/>
    </row>
    <row r="32" spans="1:28" x14ac:dyDescent="0.25">
      <c r="A32" s="51"/>
      <c r="B32" s="64"/>
      <c r="C32" s="39"/>
      <c r="D32" s="67"/>
      <c r="E32" s="59">
        <v>1</v>
      </c>
      <c r="F32" s="124">
        <v>291</v>
      </c>
      <c r="G32" s="124"/>
      <c r="H32" s="53" t="str">
        <f>VLOOKUP(F32,Lookups!$D:$E,2,0)</f>
        <v>Dive</v>
      </c>
      <c r="I32" s="110">
        <v>40</v>
      </c>
      <c r="J32" s="124">
        <v>0</v>
      </c>
      <c r="K32" s="124"/>
      <c r="L32" s="117" t="str">
        <f>DEC2HEX(146144+((E32-1)*4))</f>
        <v>23AE0</v>
      </c>
      <c r="M32" s="141" t="str">
        <f>IF(LEN(DEC2HEX(F32))=1,"0"&amp;DEC2HEX(F32)&amp;" 00",IF(LEN(DEC2HEX(F32))=2,DEC2HEX(F32)&amp;" 00",IF(LEN(DEC2HEX(F32))=3,RIGHT(DEC2HEX(F32),2)&amp;" 0"&amp;LEFT(DEC2HEX(F32),1),IF(LEN(DEC2HEX(F32))=4,RIGHT(DEC2HEX(F32),2)&amp;" "&amp;LEFT(DEC2HEX(F32),2),"Error - Move ID too high"))))&amp;" "&amp;IF(LEN(DEC2HEX(I32))=1,"0"&amp;DEC2HEX(I32),DEC2HEX(I32))&amp;" "&amp;IF(LEN(DEC2HEX(J32))=1,"0"&amp;DEC2HEX(J32),DEC2HEX(J32))</f>
        <v>23 01 28 00</v>
      </c>
      <c r="N32" s="141"/>
      <c r="O32" s="141"/>
      <c r="P32" s="141"/>
      <c r="Q32" s="142"/>
      <c r="R32" s="70"/>
      <c r="S32" s="51"/>
      <c r="T32" s="51"/>
      <c r="U32" s="51"/>
      <c r="V32" s="51"/>
      <c r="W32" s="51"/>
      <c r="X32" s="51"/>
      <c r="Y32" s="51"/>
      <c r="Z32" s="51"/>
      <c r="AA32" s="51"/>
      <c r="AB32" s="51"/>
    </row>
    <row r="33" spans="1:28" x14ac:dyDescent="0.25">
      <c r="A33" s="51"/>
      <c r="B33" s="64"/>
      <c r="C33" s="39"/>
      <c r="D33" s="67"/>
      <c r="E33" s="59">
        <v>2</v>
      </c>
      <c r="F33" s="124">
        <v>189</v>
      </c>
      <c r="G33" s="124"/>
      <c r="H33" s="53" t="str">
        <f>VLOOKUP(F33,Lookups!$D:$E,2,0)</f>
        <v>Mud-Slap</v>
      </c>
      <c r="I33" s="110">
        <v>32</v>
      </c>
      <c r="J33" s="124">
        <v>1</v>
      </c>
      <c r="K33" s="124"/>
      <c r="L33" s="117" t="str">
        <f t="shared" ref="L33:L89" si="4">DEC2HEX(146144+((E33-1)*4))</f>
        <v>23AE4</v>
      </c>
      <c r="M33" s="141" t="str">
        <f t="shared" ref="M33:M89" si="5">IF(LEN(DEC2HEX(F33))=1,"0"&amp;DEC2HEX(F33)&amp;" 00",IF(LEN(DEC2HEX(F33))=2,DEC2HEX(F33)&amp;" 00",IF(LEN(DEC2HEX(F33))=3,RIGHT(DEC2HEX(F33),2)&amp;" 0"&amp;LEFT(DEC2HEX(F33),1),IF(LEN(DEC2HEX(F33))=4,RIGHT(DEC2HEX(F33),2)&amp;" "&amp;LEFT(DEC2HEX(F33),2),"Error - Move ID too high"))))&amp;" "&amp;IF(LEN(DEC2HEX(I33))=1,"0"&amp;DEC2HEX(I33),DEC2HEX(I33))&amp;" "&amp;IF(LEN(DEC2HEX(J33))=1,"0"&amp;DEC2HEX(J33),DEC2HEX(J33))</f>
        <v>BD 00 20 01</v>
      </c>
      <c r="N33" s="141"/>
      <c r="O33" s="141"/>
      <c r="P33" s="141"/>
      <c r="Q33" s="142"/>
      <c r="R33" s="70"/>
      <c r="S33" s="51"/>
      <c r="T33" s="51"/>
      <c r="U33" s="51"/>
      <c r="V33" s="51"/>
      <c r="W33" s="51"/>
      <c r="X33" s="51"/>
      <c r="Y33" s="51"/>
      <c r="Z33" s="51"/>
      <c r="AA33" s="51"/>
      <c r="AB33" s="51"/>
    </row>
    <row r="34" spans="1:28" x14ac:dyDescent="0.25">
      <c r="A34" s="51"/>
      <c r="B34" s="64"/>
      <c r="C34" s="39"/>
      <c r="D34" s="67"/>
      <c r="E34" s="59">
        <v>3</v>
      </c>
      <c r="F34" s="124">
        <v>210</v>
      </c>
      <c r="G34" s="124"/>
      <c r="H34" s="53" t="str">
        <f>VLOOKUP(F34,Lookups!$D:$E,2,0)</f>
        <v>Fury Cutter</v>
      </c>
      <c r="I34" s="110">
        <v>32</v>
      </c>
      <c r="J34" s="124">
        <v>0</v>
      </c>
      <c r="K34" s="124"/>
      <c r="L34" s="117" t="str">
        <f t="shared" si="4"/>
        <v>23AE8</v>
      </c>
      <c r="M34" s="141" t="str">
        <f t="shared" si="5"/>
        <v>D2 00 20 00</v>
      </c>
      <c r="N34" s="141"/>
      <c r="O34" s="141"/>
      <c r="P34" s="141"/>
      <c r="Q34" s="142"/>
      <c r="R34" s="70"/>
      <c r="S34" s="51"/>
      <c r="T34" s="51"/>
      <c r="U34" s="51"/>
      <c r="V34" s="51"/>
      <c r="W34" s="51"/>
      <c r="X34" s="51"/>
      <c r="Y34" s="51"/>
      <c r="Z34" s="51"/>
      <c r="AA34" s="51"/>
      <c r="AB34" s="51"/>
    </row>
    <row r="35" spans="1:28" x14ac:dyDescent="0.25">
      <c r="A35" s="51"/>
      <c r="B35" s="64"/>
      <c r="C35" s="39"/>
      <c r="D35" s="67"/>
      <c r="E35" s="59">
        <v>4</v>
      </c>
      <c r="F35" s="124">
        <v>196</v>
      </c>
      <c r="G35" s="124"/>
      <c r="H35" s="53" t="str">
        <f>VLOOKUP(F35,Lookups!$D:$E,2,0)</f>
        <v>Icy Wind</v>
      </c>
      <c r="I35" s="110">
        <v>48</v>
      </c>
      <c r="J35" s="124">
        <v>0</v>
      </c>
      <c r="K35" s="124"/>
      <c r="L35" s="117" t="str">
        <f t="shared" si="4"/>
        <v>23AEC</v>
      </c>
      <c r="M35" s="141" t="str">
        <f t="shared" si="5"/>
        <v>C4 00 30 00</v>
      </c>
      <c r="N35" s="141"/>
      <c r="O35" s="141"/>
      <c r="P35" s="141"/>
      <c r="Q35" s="142"/>
      <c r="R35" s="70"/>
      <c r="S35" s="51"/>
      <c r="T35" s="51"/>
      <c r="U35" s="51"/>
      <c r="V35" s="51"/>
      <c r="W35" s="51"/>
      <c r="X35" s="51"/>
      <c r="Y35" s="51"/>
      <c r="Z35" s="51"/>
      <c r="AA35" s="51"/>
      <c r="AB35" s="51"/>
    </row>
    <row r="36" spans="1:28" x14ac:dyDescent="0.25">
      <c r="A36" s="51"/>
      <c r="B36" s="64"/>
      <c r="C36" s="39"/>
      <c r="D36" s="67"/>
      <c r="E36" s="59">
        <v>5</v>
      </c>
      <c r="F36" s="124">
        <v>205</v>
      </c>
      <c r="G36" s="124"/>
      <c r="H36" s="53" t="str">
        <f>VLOOKUP(F36,Lookups!$D:$E,2,0)</f>
        <v>Rollout</v>
      </c>
      <c r="I36" s="110">
        <v>32</v>
      </c>
      <c r="J36" s="124">
        <v>1</v>
      </c>
      <c r="K36" s="124"/>
      <c r="L36" s="117" t="str">
        <f t="shared" si="4"/>
        <v>23AF0</v>
      </c>
      <c r="M36" s="141" t="str">
        <f t="shared" si="5"/>
        <v>CD 00 20 01</v>
      </c>
      <c r="N36" s="141"/>
      <c r="O36" s="141"/>
      <c r="P36" s="141"/>
      <c r="Q36" s="142"/>
      <c r="R36" s="70"/>
      <c r="S36" s="51"/>
      <c r="T36" s="51"/>
      <c r="U36" s="51"/>
      <c r="V36" s="51"/>
      <c r="W36" s="51"/>
      <c r="X36" s="51"/>
      <c r="Y36" s="51"/>
      <c r="Z36" s="51"/>
      <c r="AA36" s="51"/>
      <c r="AB36" s="51"/>
    </row>
    <row r="37" spans="1:28" x14ac:dyDescent="0.25">
      <c r="A37" s="51"/>
      <c r="B37" s="64"/>
      <c r="C37" s="39"/>
      <c r="D37" s="67"/>
      <c r="E37" s="59">
        <v>6</v>
      </c>
      <c r="F37" s="124">
        <v>9</v>
      </c>
      <c r="G37" s="124"/>
      <c r="H37" s="53" t="str">
        <f>VLOOKUP(F37,Lookups!$D:$E,2,0)</f>
        <v>ThunderPunch</v>
      </c>
      <c r="I37" s="110">
        <v>64</v>
      </c>
      <c r="J37" s="124">
        <v>0</v>
      </c>
      <c r="K37" s="124"/>
      <c r="L37" s="117" t="str">
        <f t="shared" si="4"/>
        <v>23AF4</v>
      </c>
      <c r="M37" s="141" t="str">
        <f t="shared" si="5"/>
        <v>09 00 40 00</v>
      </c>
      <c r="N37" s="141"/>
      <c r="O37" s="141"/>
      <c r="P37" s="141"/>
      <c r="Q37" s="142"/>
      <c r="R37" s="70"/>
      <c r="S37" s="51"/>
      <c r="T37" s="51"/>
      <c r="U37" s="51"/>
      <c r="V37" s="51"/>
      <c r="W37" s="51"/>
      <c r="X37" s="51"/>
      <c r="Y37" s="51"/>
      <c r="Z37" s="51"/>
      <c r="AA37" s="51"/>
      <c r="AB37" s="51"/>
    </row>
    <row r="38" spans="1:28" x14ac:dyDescent="0.25">
      <c r="A38" s="51"/>
      <c r="B38" s="64"/>
      <c r="C38" s="39"/>
      <c r="D38" s="67"/>
      <c r="E38" s="59">
        <v>7</v>
      </c>
      <c r="F38" s="124">
        <v>7</v>
      </c>
      <c r="G38" s="124"/>
      <c r="H38" s="53" t="str">
        <f>VLOOKUP(F38,Lookups!$D:$E,2,0)</f>
        <v>Fire Punch</v>
      </c>
      <c r="I38" s="110">
        <v>64</v>
      </c>
      <c r="J38" s="124">
        <v>0</v>
      </c>
      <c r="K38" s="124"/>
      <c r="L38" s="117" t="str">
        <f t="shared" si="4"/>
        <v>23AF8</v>
      </c>
      <c r="M38" s="141" t="str">
        <f t="shared" si="5"/>
        <v>07 00 40 00</v>
      </c>
      <c r="N38" s="141"/>
      <c r="O38" s="141"/>
      <c r="P38" s="141"/>
      <c r="Q38" s="142"/>
      <c r="R38" s="70"/>
      <c r="S38" s="51"/>
      <c r="T38" s="51"/>
      <c r="U38" s="51"/>
      <c r="V38" s="51"/>
      <c r="W38" s="51"/>
      <c r="X38" s="51"/>
      <c r="Y38" s="51"/>
      <c r="Z38" s="51"/>
      <c r="AA38" s="51"/>
      <c r="AB38" s="51"/>
    </row>
    <row r="39" spans="1:28" x14ac:dyDescent="0.25">
      <c r="A39" s="51"/>
      <c r="B39" s="64"/>
      <c r="C39" s="39"/>
      <c r="D39" s="67"/>
      <c r="E39" s="59">
        <v>8</v>
      </c>
      <c r="F39" s="124">
        <v>276</v>
      </c>
      <c r="G39" s="124"/>
      <c r="H39" s="53" t="str">
        <f>VLOOKUP(F39,Lookups!$D:$E,2,0)</f>
        <v>Superpower</v>
      </c>
      <c r="I39" s="110">
        <v>48</v>
      </c>
      <c r="J39" s="124">
        <v>1</v>
      </c>
      <c r="K39" s="124"/>
      <c r="L39" s="117" t="str">
        <f t="shared" si="4"/>
        <v>23AFC</v>
      </c>
      <c r="M39" s="141" t="str">
        <f t="shared" si="5"/>
        <v>14 01 30 01</v>
      </c>
      <c r="N39" s="141"/>
      <c r="O39" s="141"/>
      <c r="P39" s="141"/>
      <c r="Q39" s="142"/>
      <c r="R39" s="70"/>
      <c r="S39" s="51"/>
      <c r="T39" s="51"/>
      <c r="U39" s="51"/>
      <c r="V39" s="51"/>
      <c r="W39" s="51"/>
      <c r="X39" s="51"/>
      <c r="Y39" s="51"/>
      <c r="Z39" s="51"/>
      <c r="AA39" s="51"/>
      <c r="AB39" s="51"/>
    </row>
    <row r="40" spans="1:28" x14ac:dyDescent="0.25">
      <c r="A40" s="51"/>
      <c r="B40" s="64"/>
      <c r="C40" s="39"/>
      <c r="D40" s="67"/>
      <c r="E40" s="59">
        <v>9</v>
      </c>
      <c r="F40" s="124">
        <v>8</v>
      </c>
      <c r="G40" s="124"/>
      <c r="H40" s="53" t="str">
        <f>VLOOKUP(F40,Lookups!$D:$E,2,0)</f>
        <v>Ice Punch</v>
      </c>
      <c r="I40" s="110">
        <v>64</v>
      </c>
      <c r="J40" s="124">
        <v>0</v>
      </c>
      <c r="K40" s="124"/>
      <c r="L40" s="117" t="str">
        <f t="shared" si="4"/>
        <v>23B00</v>
      </c>
      <c r="M40" s="141" t="str">
        <f t="shared" si="5"/>
        <v>08 00 40 00</v>
      </c>
      <c r="N40" s="141"/>
      <c r="O40" s="141"/>
      <c r="P40" s="141"/>
      <c r="Q40" s="142"/>
      <c r="R40" s="70"/>
      <c r="S40" s="51"/>
      <c r="T40" s="51"/>
      <c r="U40" s="51"/>
      <c r="V40" s="51"/>
      <c r="W40" s="51"/>
      <c r="X40" s="51"/>
      <c r="Y40" s="51"/>
      <c r="Z40" s="51"/>
      <c r="AA40" s="51"/>
      <c r="AB40" s="51"/>
    </row>
    <row r="41" spans="1:28" x14ac:dyDescent="0.25">
      <c r="A41" s="51"/>
      <c r="B41" s="64"/>
      <c r="C41" s="39"/>
      <c r="D41" s="67"/>
      <c r="E41" s="59">
        <v>10</v>
      </c>
      <c r="F41" s="124">
        <v>442</v>
      </c>
      <c r="G41" s="124"/>
      <c r="H41" s="53" t="str">
        <f>VLOOKUP(F41,Lookups!$D:$E,2,0)</f>
        <v>Iron Head</v>
      </c>
      <c r="I41" s="110">
        <v>40</v>
      </c>
      <c r="J41" s="124">
        <v>1</v>
      </c>
      <c r="K41" s="124"/>
      <c r="L41" s="117" t="str">
        <f t="shared" si="4"/>
        <v>23B04</v>
      </c>
      <c r="M41" s="141" t="str">
        <f t="shared" si="5"/>
        <v>BA 01 28 01</v>
      </c>
      <c r="N41" s="141"/>
      <c r="O41" s="141"/>
      <c r="P41" s="141"/>
      <c r="Q41" s="142"/>
      <c r="R41" s="70"/>
      <c r="S41" s="51"/>
      <c r="T41" s="51"/>
      <c r="U41" s="51"/>
      <c r="V41" s="51"/>
      <c r="W41" s="51"/>
      <c r="X41" s="51"/>
      <c r="Y41" s="51"/>
      <c r="Z41" s="51"/>
      <c r="AA41" s="51"/>
      <c r="AB41" s="51"/>
    </row>
    <row r="42" spans="1:28" x14ac:dyDescent="0.25">
      <c r="A42" s="51"/>
      <c r="B42" s="64"/>
      <c r="C42" s="39"/>
      <c r="D42" s="67"/>
      <c r="E42" s="59">
        <v>11</v>
      </c>
      <c r="F42" s="124">
        <v>401</v>
      </c>
      <c r="G42" s="124"/>
      <c r="H42" s="53" t="str">
        <f>VLOOKUP(F42,Lookups!$D:$E,2,0)</f>
        <v>Aqua Tail</v>
      </c>
      <c r="I42" s="110">
        <v>40</v>
      </c>
      <c r="J42" s="124">
        <v>1</v>
      </c>
      <c r="K42" s="124"/>
      <c r="L42" s="117" t="str">
        <f t="shared" si="4"/>
        <v>23B08</v>
      </c>
      <c r="M42" s="141" t="str">
        <f t="shared" si="5"/>
        <v>91 01 28 01</v>
      </c>
      <c r="N42" s="141"/>
      <c r="O42" s="141"/>
      <c r="P42" s="141"/>
      <c r="Q42" s="142"/>
      <c r="R42" s="70"/>
      <c r="S42" s="51"/>
      <c r="T42" s="51"/>
      <c r="U42" s="51"/>
      <c r="V42" s="51"/>
      <c r="W42" s="51"/>
      <c r="X42" s="51"/>
      <c r="Y42" s="51"/>
      <c r="Z42" s="51"/>
      <c r="AA42" s="51"/>
      <c r="AB42" s="51"/>
    </row>
    <row r="43" spans="1:28" x14ac:dyDescent="0.25">
      <c r="A43" s="51"/>
      <c r="B43" s="64"/>
      <c r="C43" s="39"/>
      <c r="D43" s="67"/>
      <c r="E43" s="59">
        <v>12</v>
      </c>
      <c r="F43" s="124">
        <v>466</v>
      </c>
      <c r="G43" s="124"/>
      <c r="H43" s="53" t="str">
        <f>VLOOKUP(F43,Lookups!$D:$E,2,0)</f>
        <v>Ominous Wind</v>
      </c>
      <c r="I43" s="110">
        <v>48</v>
      </c>
      <c r="J43" s="124">
        <v>0</v>
      </c>
      <c r="K43" s="124"/>
      <c r="L43" s="117" t="str">
        <f t="shared" si="4"/>
        <v>23B0C</v>
      </c>
      <c r="M43" s="141" t="str">
        <f t="shared" si="5"/>
        <v>D2 01 30 00</v>
      </c>
      <c r="N43" s="141"/>
      <c r="O43" s="141"/>
      <c r="P43" s="141"/>
      <c r="Q43" s="142"/>
      <c r="R43" s="70"/>
      <c r="S43" s="51"/>
      <c r="T43" s="51"/>
      <c r="U43" s="51"/>
      <c r="V43" s="51"/>
      <c r="W43" s="51"/>
      <c r="X43" s="51"/>
      <c r="Y43" s="51"/>
      <c r="Z43" s="51"/>
      <c r="AA43" s="51"/>
      <c r="AB43" s="51"/>
    </row>
    <row r="44" spans="1:28" x14ac:dyDescent="0.25">
      <c r="A44" s="51"/>
      <c r="B44" s="64"/>
      <c r="C44" s="39"/>
      <c r="D44" s="67"/>
      <c r="E44" s="59">
        <v>13</v>
      </c>
      <c r="F44" s="124">
        <v>380</v>
      </c>
      <c r="G44" s="124"/>
      <c r="H44" s="53" t="str">
        <f>VLOOKUP(F44,Lookups!$D:$E,2,0)</f>
        <v>Gastro Acid</v>
      </c>
      <c r="I44" s="110">
        <v>32</v>
      </c>
      <c r="J44" s="124">
        <v>1</v>
      </c>
      <c r="K44" s="124"/>
      <c r="L44" s="117" t="str">
        <f t="shared" si="4"/>
        <v>23B10</v>
      </c>
      <c r="M44" s="141" t="str">
        <f t="shared" si="5"/>
        <v>7C 01 20 01</v>
      </c>
      <c r="N44" s="141"/>
      <c r="O44" s="141"/>
      <c r="P44" s="141"/>
      <c r="Q44" s="142"/>
      <c r="R44" s="70"/>
      <c r="S44" s="51"/>
      <c r="T44" s="51"/>
      <c r="U44" s="51"/>
      <c r="V44" s="51"/>
      <c r="W44" s="51"/>
      <c r="X44" s="51"/>
      <c r="Y44" s="51"/>
      <c r="Z44" s="51"/>
      <c r="AA44" s="51"/>
      <c r="AB44" s="51"/>
    </row>
    <row r="45" spans="1:28" x14ac:dyDescent="0.25">
      <c r="A45" s="51"/>
      <c r="B45" s="64"/>
      <c r="C45" s="39"/>
      <c r="D45" s="67"/>
      <c r="E45" s="59">
        <v>14</v>
      </c>
      <c r="F45" s="124">
        <v>173</v>
      </c>
      <c r="G45" s="124"/>
      <c r="H45" s="53" t="str">
        <f>VLOOKUP(F45,Lookups!$D:$E,2,0)</f>
        <v>Snore</v>
      </c>
      <c r="I45" s="110">
        <v>32</v>
      </c>
      <c r="J45" s="124">
        <v>2</v>
      </c>
      <c r="K45" s="124"/>
      <c r="L45" s="117" t="str">
        <f t="shared" si="4"/>
        <v>23B14</v>
      </c>
      <c r="M45" s="141" t="str">
        <f t="shared" si="5"/>
        <v>AD 00 20 02</v>
      </c>
      <c r="N45" s="141"/>
      <c r="O45" s="141"/>
      <c r="P45" s="141"/>
      <c r="Q45" s="142"/>
      <c r="R45" s="70"/>
      <c r="S45" s="51"/>
      <c r="T45" s="51"/>
      <c r="U45" s="51"/>
      <c r="V45" s="51"/>
      <c r="W45" s="51"/>
      <c r="X45" s="51"/>
      <c r="Y45" s="51"/>
      <c r="Z45" s="51"/>
      <c r="AA45" s="51"/>
      <c r="AB45" s="51"/>
    </row>
    <row r="46" spans="1:28" x14ac:dyDescent="0.25">
      <c r="A46" s="51"/>
      <c r="B46" s="64"/>
      <c r="C46" s="39"/>
      <c r="D46" s="67"/>
      <c r="E46" s="59">
        <v>15</v>
      </c>
      <c r="F46" s="124">
        <v>180</v>
      </c>
      <c r="G46" s="124"/>
      <c r="H46" s="53" t="str">
        <f>VLOOKUP(F46,Lookups!$D:$E,2,0)</f>
        <v>Spite</v>
      </c>
      <c r="I46" s="110">
        <v>40</v>
      </c>
      <c r="J46" s="124">
        <v>2</v>
      </c>
      <c r="K46" s="124"/>
      <c r="L46" s="117" t="str">
        <f t="shared" si="4"/>
        <v>23B18</v>
      </c>
      <c r="M46" s="141" t="str">
        <f t="shared" si="5"/>
        <v>B4 00 28 02</v>
      </c>
      <c r="N46" s="141"/>
      <c r="O46" s="141"/>
      <c r="P46" s="141"/>
      <c r="Q46" s="142"/>
      <c r="R46" s="70"/>
      <c r="S46" s="51"/>
      <c r="T46" s="51"/>
      <c r="U46" s="51"/>
      <c r="V46" s="51"/>
      <c r="W46" s="51"/>
      <c r="X46" s="51"/>
      <c r="Y46" s="51"/>
      <c r="Z46" s="51"/>
      <c r="AA46" s="51"/>
      <c r="AB46" s="51"/>
    </row>
    <row r="47" spans="1:28" x14ac:dyDescent="0.25">
      <c r="A47" s="51"/>
      <c r="B47" s="64"/>
      <c r="C47" s="39"/>
      <c r="D47" s="67"/>
      <c r="E47" s="59">
        <v>16</v>
      </c>
      <c r="F47" s="124">
        <v>314</v>
      </c>
      <c r="G47" s="124"/>
      <c r="H47" s="53" t="str">
        <f>VLOOKUP(F47,Lookups!$D:$E,2,0)</f>
        <v>Air Cutter</v>
      </c>
      <c r="I47" s="110">
        <v>48</v>
      </c>
      <c r="J47" s="124">
        <v>0</v>
      </c>
      <c r="K47" s="124"/>
      <c r="L47" s="117" t="str">
        <f t="shared" si="4"/>
        <v>23B1C</v>
      </c>
      <c r="M47" s="141" t="str">
        <f t="shared" si="5"/>
        <v>3A 01 30 00</v>
      </c>
      <c r="N47" s="141"/>
      <c r="O47" s="141"/>
      <c r="P47" s="141"/>
      <c r="Q47" s="142"/>
      <c r="R47" s="70"/>
      <c r="S47" s="51"/>
      <c r="T47" s="51"/>
      <c r="U47" s="51"/>
      <c r="V47" s="51"/>
      <c r="W47" s="51"/>
      <c r="X47" s="51"/>
      <c r="Y47" s="51"/>
      <c r="Z47" s="51"/>
      <c r="AA47" s="51"/>
      <c r="AB47" s="51"/>
    </row>
    <row r="48" spans="1:28" x14ac:dyDescent="0.25">
      <c r="A48" s="51"/>
      <c r="B48" s="64"/>
      <c r="C48" s="39"/>
      <c r="D48" s="67"/>
      <c r="E48" s="59">
        <v>17</v>
      </c>
      <c r="F48" s="124">
        <v>270</v>
      </c>
      <c r="G48" s="124"/>
      <c r="H48" s="53" t="str">
        <f>VLOOKUP(F48,Lookups!$D:$E,2,0)</f>
        <v>Helping Hand</v>
      </c>
      <c r="I48" s="110">
        <v>40</v>
      </c>
      <c r="J48" s="124">
        <v>2</v>
      </c>
      <c r="K48" s="124"/>
      <c r="L48" s="117" t="str">
        <f t="shared" si="4"/>
        <v>23B20</v>
      </c>
      <c r="M48" s="141" t="str">
        <f t="shared" si="5"/>
        <v>0E 01 28 02</v>
      </c>
      <c r="N48" s="141"/>
      <c r="O48" s="141"/>
      <c r="P48" s="141"/>
      <c r="Q48" s="142"/>
      <c r="R48" s="70"/>
      <c r="S48" s="51"/>
      <c r="T48" s="51"/>
      <c r="U48" s="51"/>
      <c r="V48" s="51"/>
      <c r="W48" s="51"/>
      <c r="X48" s="51"/>
      <c r="Y48" s="51"/>
      <c r="Z48" s="51"/>
      <c r="AA48" s="51"/>
      <c r="AB48" s="51"/>
    </row>
    <row r="49" spans="1:28" x14ac:dyDescent="0.25">
      <c r="A49" s="51"/>
      <c r="B49" s="64"/>
      <c r="C49" s="39"/>
      <c r="D49" s="67"/>
      <c r="E49" s="59">
        <v>18</v>
      </c>
      <c r="F49" s="124">
        <v>283</v>
      </c>
      <c r="G49" s="124"/>
      <c r="H49" s="53" t="str">
        <f>VLOOKUP(F49,Lookups!$D:$E,2,0)</f>
        <v>Endeavor</v>
      </c>
      <c r="I49" s="110">
        <v>64</v>
      </c>
      <c r="J49" s="124">
        <v>1</v>
      </c>
      <c r="K49" s="124"/>
      <c r="L49" s="117" t="str">
        <f t="shared" si="4"/>
        <v>23B24</v>
      </c>
      <c r="M49" s="141" t="str">
        <f t="shared" si="5"/>
        <v>1B 01 40 01</v>
      </c>
      <c r="N49" s="141"/>
      <c r="O49" s="141"/>
      <c r="P49" s="141"/>
      <c r="Q49" s="142"/>
      <c r="R49" s="70"/>
      <c r="S49" s="51"/>
      <c r="T49" s="51"/>
      <c r="U49" s="51"/>
      <c r="V49" s="51"/>
      <c r="W49" s="51"/>
      <c r="X49" s="51"/>
      <c r="Y49" s="51"/>
      <c r="Z49" s="51"/>
      <c r="AA49" s="51"/>
      <c r="AB49" s="51"/>
    </row>
    <row r="50" spans="1:28" x14ac:dyDescent="0.25">
      <c r="A50" s="51"/>
      <c r="B50" s="64"/>
      <c r="C50" s="39"/>
      <c r="D50" s="67"/>
      <c r="E50" s="59">
        <v>19</v>
      </c>
      <c r="F50" s="124">
        <v>200</v>
      </c>
      <c r="G50" s="124"/>
      <c r="H50" s="53" t="str">
        <f>VLOOKUP(F50,Lookups!$D:$E,2,0)</f>
        <v>Outrage</v>
      </c>
      <c r="I50" s="110">
        <v>48</v>
      </c>
      <c r="J50" s="124">
        <v>1</v>
      </c>
      <c r="K50" s="124"/>
      <c r="L50" s="117" t="str">
        <f t="shared" si="4"/>
        <v>23B28</v>
      </c>
      <c r="M50" s="141" t="str">
        <f t="shared" si="5"/>
        <v>C8 00 30 01</v>
      </c>
      <c r="N50" s="141"/>
      <c r="O50" s="141"/>
      <c r="P50" s="141"/>
      <c r="Q50" s="142"/>
      <c r="R50" s="70"/>
      <c r="S50" s="51"/>
      <c r="T50" s="51"/>
      <c r="U50" s="51"/>
      <c r="V50" s="51"/>
      <c r="W50" s="51"/>
      <c r="X50" s="51"/>
      <c r="Y50" s="51"/>
      <c r="Z50" s="51"/>
      <c r="AA50" s="51"/>
      <c r="AB50" s="51"/>
    </row>
    <row r="51" spans="1:28" x14ac:dyDescent="0.25">
      <c r="A51" s="51"/>
      <c r="B51" s="64"/>
      <c r="C51" s="39"/>
      <c r="D51" s="67"/>
      <c r="E51" s="59">
        <v>20</v>
      </c>
      <c r="F51" s="124">
        <v>246</v>
      </c>
      <c r="G51" s="124"/>
      <c r="H51" s="53" t="str">
        <f>VLOOKUP(F51,Lookups!$D:$E,2,0)</f>
        <v>AncientPower</v>
      </c>
      <c r="I51" s="110">
        <v>40</v>
      </c>
      <c r="J51" s="124">
        <v>1</v>
      </c>
      <c r="K51" s="124"/>
      <c r="L51" s="117" t="str">
        <f t="shared" si="4"/>
        <v>23B2C</v>
      </c>
      <c r="M51" s="141" t="str">
        <f t="shared" si="5"/>
        <v>F6 00 28 01</v>
      </c>
      <c r="N51" s="141"/>
      <c r="O51" s="141"/>
      <c r="P51" s="141"/>
      <c r="Q51" s="142"/>
      <c r="R51" s="70"/>
      <c r="S51" s="51"/>
      <c r="T51" s="51"/>
      <c r="U51" s="51"/>
      <c r="V51" s="51"/>
      <c r="W51" s="51"/>
      <c r="X51" s="51"/>
      <c r="Y51" s="51"/>
      <c r="Z51" s="51"/>
      <c r="AA51" s="51"/>
      <c r="AB51" s="51"/>
    </row>
    <row r="52" spans="1:28" x14ac:dyDescent="0.25">
      <c r="A52" s="51"/>
      <c r="B52" s="64"/>
      <c r="C52" s="39"/>
      <c r="D52" s="67"/>
      <c r="E52" s="59">
        <v>21</v>
      </c>
      <c r="F52" s="124">
        <v>235</v>
      </c>
      <c r="G52" s="124"/>
      <c r="H52" s="53" t="str">
        <f>VLOOKUP(F52,Lookups!$D:$E,2,0)</f>
        <v>Synthesis</v>
      </c>
      <c r="I52" s="110">
        <v>40</v>
      </c>
      <c r="J52" s="124">
        <v>2</v>
      </c>
      <c r="K52" s="124"/>
      <c r="L52" s="117" t="str">
        <f t="shared" si="4"/>
        <v>23B30</v>
      </c>
      <c r="M52" s="141" t="str">
        <f t="shared" si="5"/>
        <v>EB 00 28 02</v>
      </c>
      <c r="N52" s="141"/>
      <c r="O52" s="141"/>
      <c r="P52" s="141"/>
      <c r="Q52" s="142"/>
      <c r="R52" s="70"/>
      <c r="S52" s="51"/>
      <c r="T52" s="51"/>
      <c r="U52" s="51"/>
      <c r="V52" s="51"/>
      <c r="W52" s="51"/>
      <c r="X52" s="51"/>
      <c r="Y52" s="51"/>
      <c r="Z52" s="51"/>
      <c r="AA52" s="51"/>
      <c r="AB52" s="51"/>
    </row>
    <row r="53" spans="1:28" x14ac:dyDescent="0.25">
      <c r="A53" s="51"/>
      <c r="B53" s="64"/>
      <c r="C53" s="39"/>
      <c r="D53" s="67"/>
      <c r="E53" s="59">
        <v>22</v>
      </c>
      <c r="F53" s="124">
        <v>324</v>
      </c>
      <c r="G53" s="124"/>
      <c r="H53" s="53" t="str">
        <f>VLOOKUP(F53,Lookups!$D:$E,2,0)</f>
        <v>Signal Beam</v>
      </c>
      <c r="I53" s="110">
        <v>40</v>
      </c>
      <c r="J53" s="124">
        <v>1</v>
      </c>
      <c r="K53" s="124"/>
      <c r="L53" s="117" t="str">
        <f t="shared" si="4"/>
        <v>23B34</v>
      </c>
      <c r="M53" s="141" t="str">
        <f t="shared" si="5"/>
        <v>44 01 28 01</v>
      </c>
      <c r="N53" s="141"/>
      <c r="O53" s="141"/>
      <c r="P53" s="141"/>
      <c r="Q53" s="142"/>
      <c r="R53" s="70"/>
      <c r="S53" s="51"/>
      <c r="T53" s="51"/>
      <c r="U53" s="51"/>
      <c r="V53" s="51"/>
      <c r="W53" s="51"/>
      <c r="X53" s="51"/>
      <c r="Y53" s="51"/>
      <c r="Z53" s="51"/>
      <c r="AA53" s="51"/>
      <c r="AB53" s="51"/>
    </row>
    <row r="54" spans="1:28" x14ac:dyDescent="0.25">
      <c r="A54" s="51"/>
      <c r="B54" s="64"/>
      <c r="C54" s="39"/>
      <c r="D54" s="67"/>
      <c r="E54" s="59">
        <v>23</v>
      </c>
      <c r="F54" s="124">
        <v>428</v>
      </c>
      <c r="G54" s="124"/>
      <c r="H54" s="53" t="str">
        <f>VLOOKUP(F54,Lookups!$D:$E,2,0)</f>
        <v>Zen Headbutt</v>
      </c>
      <c r="I54" s="110">
        <v>64</v>
      </c>
      <c r="J54" s="124">
        <v>0</v>
      </c>
      <c r="K54" s="124"/>
      <c r="L54" s="117" t="str">
        <f t="shared" si="4"/>
        <v>23B38</v>
      </c>
      <c r="M54" s="141" t="str">
        <f t="shared" si="5"/>
        <v>AC 01 40 00</v>
      </c>
      <c r="N54" s="141"/>
      <c r="O54" s="141"/>
      <c r="P54" s="141"/>
      <c r="Q54" s="142"/>
      <c r="R54" s="70"/>
      <c r="S54" s="51"/>
      <c r="T54" s="51"/>
      <c r="U54" s="51"/>
      <c r="V54" s="51"/>
      <c r="W54" s="51"/>
      <c r="X54" s="51"/>
      <c r="Y54" s="51"/>
      <c r="Z54" s="51"/>
      <c r="AA54" s="51"/>
      <c r="AB54" s="51"/>
    </row>
    <row r="55" spans="1:28" x14ac:dyDescent="0.25">
      <c r="A55" s="51"/>
      <c r="B55" s="64"/>
      <c r="C55" s="39"/>
      <c r="D55" s="67"/>
      <c r="E55" s="59">
        <v>24</v>
      </c>
      <c r="F55" s="124">
        <v>410</v>
      </c>
      <c r="G55" s="124"/>
      <c r="H55" s="53" t="str">
        <f>VLOOKUP(F55,Lookups!$D:$E,2,0)</f>
        <v>Vacuum Wave</v>
      </c>
      <c r="I55" s="110">
        <v>48</v>
      </c>
      <c r="J55" s="124">
        <v>0</v>
      </c>
      <c r="K55" s="124"/>
      <c r="L55" s="117" t="str">
        <f t="shared" si="4"/>
        <v>23B3C</v>
      </c>
      <c r="M55" s="141" t="str">
        <f t="shared" si="5"/>
        <v>9A 01 30 00</v>
      </c>
      <c r="N55" s="141"/>
      <c r="O55" s="141"/>
      <c r="P55" s="141"/>
      <c r="Q55" s="142"/>
      <c r="R55" s="70"/>
      <c r="S55" s="51"/>
      <c r="T55" s="51"/>
      <c r="U55" s="51"/>
      <c r="V55" s="51"/>
      <c r="W55" s="51"/>
      <c r="X55" s="51"/>
      <c r="Y55" s="51"/>
      <c r="Z55" s="51"/>
      <c r="AA55" s="51"/>
      <c r="AB55" s="51"/>
    </row>
    <row r="56" spans="1:28" x14ac:dyDescent="0.25">
      <c r="A56" s="51"/>
      <c r="B56" s="64"/>
      <c r="C56" s="39"/>
      <c r="D56" s="67"/>
      <c r="E56" s="59">
        <v>25</v>
      </c>
      <c r="F56" s="124">
        <v>414</v>
      </c>
      <c r="G56" s="124"/>
      <c r="H56" s="53" t="str">
        <f>VLOOKUP(F56,Lookups!$D:$E,2,0)</f>
        <v>Earth Power</v>
      </c>
      <c r="I56" s="110">
        <v>40</v>
      </c>
      <c r="J56" s="124">
        <v>1</v>
      </c>
      <c r="K56" s="124"/>
      <c r="L56" s="117" t="str">
        <f t="shared" si="4"/>
        <v>23B40</v>
      </c>
      <c r="M56" s="141" t="str">
        <f t="shared" si="5"/>
        <v>9E 01 28 01</v>
      </c>
      <c r="N56" s="141"/>
      <c r="O56" s="141"/>
      <c r="P56" s="141"/>
      <c r="Q56" s="142"/>
      <c r="R56" s="70"/>
      <c r="S56" s="51"/>
      <c r="T56" s="51"/>
      <c r="U56" s="51"/>
      <c r="V56" s="51"/>
      <c r="W56" s="51"/>
      <c r="X56" s="51"/>
      <c r="Y56" s="51"/>
      <c r="Z56" s="51"/>
      <c r="AA56" s="51"/>
      <c r="AB56" s="51"/>
    </row>
    <row r="57" spans="1:28" x14ac:dyDescent="0.25">
      <c r="A57" s="51"/>
      <c r="B57" s="64"/>
      <c r="C57" s="39"/>
      <c r="D57" s="67"/>
      <c r="E57" s="59">
        <v>26</v>
      </c>
      <c r="F57" s="124">
        <v>441</v>
      </c>
      <c r="G57" s="124"/>
      <c r="H57" s="53" t="str">
        <f>VLOOKUP(F57,Lookups!$D:$E,2,0)</f>
        <v>Gunk Shot</v>
      </c>
      <c r="I57" s="110">
        <v>32</v>
      </c>
      <c r="J57" s="124">
        <v>1</v>
      </c>
      <c r="K57" s="124"/>
      <c r="L57" s="117" t="str">
        <f t="shared" si="4"/>
        <v>23B44</v>
      </c>
      <c r="M57" s="141" t="str">
        <f t="shared" si="5"/>
        <v>B9 01 20 01</v>
      </c>
      <c r="N57" s="141"/>
      <c r="O57" s="141"/>
      <c r="P57" s="141"/>
      <c r="Q57" s="142"/>
      <c r="R57" s="70"/>
      <c r="S57" s="51"/>
      <c r="T57" s="51"/>
      <c r="U57" s="51"/>
      <c r="V57" s="51"/>
      <c r="W57" s="51"/>
      <c r="X57" s="51"/>
      <c r="Y57" s="51"/>
      <c r="Z57" s="51"/>
      <c r="AA57" s="51"/>
      <c r="AB57" s="51"/>
    </row>
    <row r="58" spans="1:28" x14ac:dyDescent="0.25">
      <c r="A58" s="51"/>
      <c r="B58" s="64"/>
      <c r="C58" s="39"/>
      <c r="D58" s="67"/>
      <c r="E58" s="59">
        <v>27</v>
      </c>
      <c r="F58" s="124">
        <v>239</v>
      </c>
      <c r="G58" s="124"/>
      <c r="H58" s="53" t="str">
        <f>VLOOKUP(F58,Lookups!$D:$E,2,0)</f>
        <v>Twister</v>
      </c>
      <c r="I58" s="110">
        <v>40</v>
      </c>
      <c r="J58" s="124">
        <v>1</v>
      </c>
      <c r="K58" s="124"/>
      <c r="L58" s="117" t="str">
        <f t="shared" si="4"/>
        <v>23B48</v>
      </c>
      <c r="M58" s="141" t="str">
        <f t="shared" si="5"/>
        <v>EF 00 28 01</v>
      </c>
      <c r="N58" s="141"/>
      <c r="O58" s="141"/>
      <c r="P58" s="141"/>
      <c r="Q58" s="142"/>
      <c r="R58" s="70"/>
      <c r="S58" s="51"/>
      <c r="T58" s="51"/>
      <c r="U58" s="51"/>
      <c r="V58" s="51"/>
      <c r="W58" s="51"/>
      <c r="X58" s="51"/>
      <c r="Y58" s="51"/>
      <c r="Z58" s="51"/>
      <c r="AA58" s="51"/>
      <c r="AB58" s="51"/>
    </row>
    <row r="59" spans="1:28" x14ac:dyDescent="0.25">
      <c r="A59" s="51"/>
      <c r="B59" s="64"/>
      <c r="C59" s="39"/>
      <c r="D59" s="67"/>
      <c r="E59" s="59">
        <v>28</v>
      </c>
      <c r="F59" s="124">
        <v>402</v>
      </c>
      <c r="G59" s="124"/>
      <c r="H59" s="53" t="str">
        <f>VLOOKUP(F59,Lookups!$D:$E,2,0)</f>
        <v>Seed Bomb</v>
      </c>
      <c r="I59" s="110">
        <v>40</v>
      </c>
      <c r="J59" s="124">
        <v>1</v>
      </c>
      <c r="K59" s="124"/>
      <c r="L59" s="117" t="str">
        <f t="shared" si="4"/>
        <v>23B4C</v>
      </c>
      <c r="M59" s="141" t="str">
        <f t="shared" si="5"/>
        <v>92 01 28 01</v>
      </c>
      <c r="N59" s="141"/>
      <c r="O59" s="141"/>
      <c r="P59" s="141"/>
      <c r="Q59" s="142"/>
      <c r="R59" s="70"/>
      <c r="S59" s="51"/>
      <c r="T59" s="51"/>
      <c r="U59" s="51"/>
      <c r="V59" s="51"/>
      <c r="W59" s="51"/>
      <c r="X59" s="51"/>
      <c r="Y59" s="51"/>
      <c r="Z59" s="51"/>
      <c r="AA59" s="51"/>
      <c r="AB59" s="51"/>
    </row>
    <row r="60" spans="1:28" x14ac:dyDescent="0.25">
      <c r="A60" s="51"/>
      <c r="B60" s="64"/>
      <c r="C60" s="39"/>
      <c r="D60" s="67"/>
      <c r="E60" s="59">
        <v>29</v>
      </c>
      <c r="F60" s="124">
        <v>334</v>
      </c>
      <c r="G60" s="124"/>
      <c r="H60" s="53" t="str">
        <f>VLOOKUP(F60,Lookups!$D:$E,2,0)</f>
        <v>Iron Defense</v>
      </c>
      <c r="I60" s="110">
        <v>40</v>
      </c>
      <c r="J60" s="124">
        <v>1</v>
      </c>
      <c r="K60" s="124"/>
      <c r="L60" s="117" t="str">
        <f t="shared" si="4"/>
        <v>23B50</v>
      </c>
      <c r="M60" s="141" t="str">
        <f t="shared" si="5"/>
        <v>4E 01 28 01</v>
      </c>
      <c r="N60" s="141"/>
      <c r="O60" s="141"/>
      <c r="P60" s="141"/>
      <c r="Q60" s="142"/>
      <c r="R60" s="70"/>
      <c r="S60" s="51"/>
      <c r="T60" s="51"/>
      <c r="U60" s="51"/>
      <c r="V60" s="51"/>
      <c r="W60" s="51"/>
      <c r="X60" s="51"/>
      <c r="Y60" s="51"/>
      <c r="Z60" s="51"/>
      <c r="AA60" s="51"/>
      <c r="AB60" s="51"/>
    </row>
    <row r="61" spans="1:28" x14ac:dyDescent="0.25">
      <c r="A61" s="51"/>
      <c r="B61" s="64"/>
      <c r="C61" s="39"/>
      <c r="D61" s="67"/>
      <c r="E61" s="59">
        <v>30</v>
      </c>
      <c r="F61" s="124">
        <v>393</v>
      </c>
      <c r="G61" s="124"/>
      <c r="H61" s="53" t="str">
        <f>VLOOKUP(F61,Lookups!$D:$E,2,0)</f>
        <v>Magnet Rise</v>
      </c>
      <c r="I61" s="110">
        <v>40</v>
      </c>
      <c r="J61" s="124">
        <v>2</v>
      </c>
      <c r="K61" s="124"/>
      <c r="L61" s="117" t="str">
        <f t="shared" si="4"/>
        <v>23B54</v>
      </c>
      <c r="M61" s="141" t="str">
        <f t="shared" si="5"/>
        <v>89 01 28 02</v>
      </c>
      <c r="N61" s="141"/>
      <c r="O61" s="141"/>
      <c r="P61" s="141"/>
      <c r="Q61" s="142"/>
      <c r="R61" s="70"/>
      <c r="S61" s="51"/>
      <c r="T61" s="51"/>
      <c r="U61" s="51"/>
      <c r="V61" s="51"/>
      <c r="W61" s="51"/>
      <c r="X61" s="51"/>
      <c r="Y61" s="51"/>
      <c r="Z61" s="51"/>
      <c r="AA61" s="51"/>
      <c r="AB61" s="51"/>
    </row>
    <row r="62" spans="1:28" x14ac:dyDescent="0.25">
      <c r="A62" s="51"/>
      <c r="B62" s="64"/>
      <c r="C62" s="39"/>
      <c r="D62" s="67"/>
      <c r="E62" s="59">
        <v>31</v>
      </c>
      <c r="F62" s="124">
        <v>387</v>
      </c>
      <c r="G62" s="124"/>
      <c r="H62" s="53" t="str">
        <f>VLOOKUP(F62,Lookups!$D:$E,2,0)</f>
        <v>Last Resort</v>
      </c>
      <c r="I62" s="110">
        <v>48</v>
      </c>
      <c r="J62" s="124">
        <v>2</v>
      </c>
      <c r="K62" s="124"/>
      <c r="L62" s="117" t="str">
        <f t="shared" si="4"/>
        <v>23B58</v>
      </c>
      <c r="M62" s="141" t="str">
        <f t="shared" si="5"/>
        <v>83 01 30 02</v>
      </c>
      <c r="N62" s="141"/>
      <c r="O62" s="141"/>
      <c r="P62" s="141"/>
      <c r="Q62" s="142"/>
      <c r="R62" s="70"/>
      <c r="S62" s="51"/>
      <c r="T62" s="51"/>
      <c r="U62" s="51"/>
      <c r="V62" s="51"/>
      <c r="W62" s="51"/>
      <c r="X62" s="51"/>
      <c r="Y62" s="51"/>
      <c r="Z62" s="51"/>
      <c r="AA62" s="51"/>
      <c r="AB62" s="51"/>
    </row>
    <row r="63" spans="1:28" x14ac:dyDescent="0.25">
      <c r="A63" s="51"/>
      <c r="B63" s="64"/>
      <c r="C63" s="39"/>
      <c r="D63" s="67"/>
      <c r="E63" s="59">
        <v>32</v>
      </c>
      <c r="F63" s="124">
        <v>340</v>
      </c>
      <c r="G63" s="124"/>
      <c r="H63" s="53" t="str">
        <f>VLOOKUP(F63,Lookups!$D:$E,2,0)</f>
        <v>Bounce</v>
      </c>
      <c r="I63" s="110">
        <v>32</v>
      </c>
      <c r="J63" s="124">
        <v>1</v>
      </c>
      <c r="K63" s="124"/>
      <c r="L63" s="117" t="str">
        <f t="shared" si="4"/>
        <v>23B5C</v>
      </c>
      <c r="M63" s="141" t="str">
        <f t="shared" si="5"/>
        <v>54 01 20 01</v>
      </c>
      <c r="N63" s="141"/>
      <c r="O63" s="141"/>
      <c r="P63" s="141"/>
      <c r="Q63" s="142"/>
      <c r="R63" s="70"/>
      <c r="S63" s="51"/>
      <c r="T63" s="51"/>
      <c r="U63" s="51"/>
      <c r="V63" s="51"/>
      <c r="W63" s="51"/>
      <c r="X63" s="51"/>
      <c r="Y63" s="51"/>
      <c r="Z63" s="51"/>
      <c r="AA63" s="51"/>
      <c r="AB63" s="51"/>
    </row>
    <row r="64" spans="1:28" x14ac:dyDescent="0.25">
      <c r="A64" s="51"/>
      <c r="B64" s="64"/>
      <c r="C64" s="39"/>
      <c r="D64" s="67"/>
      <c r="E64" s="59">
        <v>33</v>
      </c>
      <c r="F64" s="124">
        <v>271</v>
      </c>
      <c r="G64" s="124"/>
      <c r="H64" s="53" t="str">
        <f>VLOOKUP(F64,Lookups!$D:$E,2,0)</f>
        <v>Trick</v>
      </c>
      <c r="I64" s="110">
        <v>48</v>
      </c>
      <c r="J64" s="124">
        <v>0</v>
      </c>
      <c r="K64" s="124"/>
      <c r="L64" s="117" t="str">
        <f t="shared" si="4"/>
        <v>23B60</v>
      </c>
      <c r="M64" s="141" t="str">
        <f t="shared" si="5"/>
        <v>0F 01 30 00</v>
      </c>
      <c r="N64" s="141"/>
      <c r="O64" s="141"/>
      <c r="P64" s="141"/>
      <c r="Q64" s="142"/>
      <c r="R64" s="70"/>
      <c r="S64" s="51"/>
      <c r="T64" s="51"/>
      <c r="U64" s="51"/>
      <c r="V64" s="51"/>
      <c r="W64" s="51"/>
      <c r="X64" s="51"/>
      <c r="Y64" s="51"/>
      <c r="Z64" s="51"/>
      <c r="AA64" s="51"/>
      <c r="AB64" s="51"/>
    </row>
    <row r="65" spans="1:28" x14ac:dyDescent="0.25">
      <c r="A65" s="51"/>
      <c r="B65" s="64"/>
      <c r="C65" s="39"/>
      <c r="D65" s="67"/>
      <c r="E65" s="59">
        <v>34</v>
      </c>
      <c r="F65" s="124">
        <v>257</v>
      </c>
      <c r="G65" s="124"/>
      <c r="H65" s="53" t="str">
        <f>VLOOKUP(F65,Lookups!$D:$E,2,0)</f>
        <v>Heat Wave</v>
      </c>
      <c r="I65" s="110">
        <v>48</v>
      </c>
      <c r="J65" s="124">
        <v>1</v>
      </c>
      <c r="K65" s="124"/>
      <c r="L65" s="117" t="str">
        <f t="shared" si="4"/>
        <v>23B64</v>
      </c>
      <c r="M65" s="141" t="str">
        <f t="shared" si="5"/>
        <v>01 01 30 01</v>
      </c>
      <c r="N65" s="141"/>
      <c r="O65" s="141"/>
      <c r="P65" s="141"/>
      <c r="Q65" s="142"/>
      <c r="R65" s="70"/>
      <c r="S65" s="51"/>
      <c r="T65" s="51"/>
      <c r="U65" s="51"/>
      <c r="V65" s="51"/>
      <c r="W65" s="51"/>
      <c r="X65" s="51"/>
      <c r="Y65" s="51"/>
      <c r="Z65" s="51"/>
      <c r="AA65" s="51"/>
      <c r="AB65" s="51"/>
    </row>
    <row r="66" spans="1:28" x14ac:dyDescent="0.25">
      <c r="A66" s="51"/>
      <c r="B66" s="64"/>
      <c r="C66" s="39"/>
      <c r="D66" s="67"/>
      <c r="E66" s="59">
        <v>35</v>
      </c>
      <c r="F66" s="124">
        <v>282</v>
      </c>
      <c r="G66" s="124"/>
      <c r="H66" s="53" t="str">
        <f>VLOOKUP(F66,Lookups!$D:$E,2,0)</f>
        <v>Knock Off</v>
      </c>
      <c r="I66" s="110">
        <v>40</v>
      </c>
      <c r="J66" s="124">
        <v>0</v>
      </c>
      <c r="K66" s="124"/>
      <c r="L66" s="117" t="str">
        <f t="shared" si="4"/>
        <v>23B68</v>
      </c>
      <c r="M66" s="141" t="str">
        <f t="shared" si="5"/>
        <v>1A 01 28 00</v>
      </c>
      <c r="N66" s="141"/>
      <c r="O66" s="141"/>
      <c r="P66" s="141"/>
      <c r="Q66" s="142"/>
      <c r="R66" s="70"/>
      <c r="S66" s="51"/>
      <c r="T66" s="51"/>
      <c r="U66" s="51"/>
      <c r="V66" s="51"/>
      <c r="W66" s="51"/>
      <c r="X66" s="51"/>
      <c r="Y66" s="51"/>
      <c r="Z66" s="51"/>
      <c r="AA66" s="51"/>
      <c r="AB66" s="51"/>
    </row>
    <row r="67" spans="1:28" x14ac:dyDescent="0.25">
      <c r="A67" s="51"/>
      <c r="B67" s="64"/>
      <c r="C67" s="39"/>
      <c r="D67" s="67"/>
      <c r="E67" s="59">
        <v>36</v>
      </c>
      <c r="F67" s="124">
        <v>389</v>
      </c>
      <c r="G67" s="124"/>
      <c r="H67" s="53" t="str">
        <f>VLOOKUP(F67,Lookups!$D:$E,2,0)</f>
        <v>Sucker Punch</v>
      </c>
      <c r="I67" s="110">
        <v>40</v>
      </c>
      <c r="J67" s="124">
        <v>0</v>
      </c>
      <c r="K67" s="124"/>
      <c r="L67" s="117" t="str">
        <f t="shared" si="4"/>
        <v>23B6C</v>
      </c>
      <c r="M67" s="141" t="str">
        <f t="shared" si="5"/>
        <v>85 01 28 00</v>
      </c>
      <c r="N67" s="141"/>
      <c r="O67" s="141"/>
      <c r="P67" s="141"/>
      <c r="Q67" s="142"/>
      <c r="R67" s="70"/>
      <c r="S67" s="51"/>
      <c r="T67" s="51"/>
      <c r="U67" s="51"/>
      <c r="V67" s="51"/>
      <c r="W67" s="51"/>
      <c r="X67" s="51"/>
      <c r="Y67" s="51"/>
      <c r="Z67" s="51"/>
      <c r="AA67" s="51"/>
      <c r="AB67" s="51"/>
    </row>
    <row r="68" spans="1:28" x14ac:dyDescent="0.25">
      <c r="A68" s="51"/>
      <c r="B68" s="64"/>
      <c r="C68" s="39"/>
      <c r="D68" s="67"/>
      <c r="E68" s="59">
        <v>37</v>
      </c>
      <c r="F68" s="124">
        <v>129</v>
      </c>
      <c r="G68" s="124"/>
      <c r="H68" s="53" t="str">
        <f>VLOOKUP(F68,Lookups!$D:$E,2,0)</f>
        <v>Swift</v>
      </c>
      <c r="I68" s="110">
        <v>40</v>
      </c>
      <c r="J68" s="124">
        <v>2</v>
      </c>
      <c r="K68" s="124"/>
      <c r="L68" s="117" t="str">
        <f t="shared" si="4"/>
        <v>23B70</v>
      </c>
      <c r="M68" s="141" t="str">
        <f t="shared" si="5"/>
        <v>81 00 28 02</v>
      </c>
      <c r="N68" s="141"/>
      <c r="O68" s="141"/>
      <c r="P68" s="141"/>
      <c r="Q68" s="142"/>
      <c r="R68" s="70"/>
      <c r="S68" s="51"/>
      <c r="T68" s="51"/>
      <c r="U68" s="51"/>
      <c r="V68" s="51"/>
      <c r="W68" s="51"/>
      <c r="X68" s="51"/>
      <c r="Y68" s="51"/>
      <c r="Z68" s="51"/>
      <c r="AA68" s="51"/>
      <c r="AB68" s="51"/>
    </row>
    <row r="69" spans="1:28" x14ac:dyDescent="0.25">
      <c r="A69" s="51"/>
      <c r="B69" s="64"/>
      <c r="C69" s="39"/>
      <c r="D69" s="67"/>
      <c r="E69" s="59">
        <v>38</v>
      </c>
      <c r="F69" s="124">
        <v>253</v>
      </c>
      <c r="G69" s="124"/>
      <c r="H69" s="53" t="str">
        <f>VLOOKUP(F69,Lookups!$D:$E,2,0)</f>
        <v>Uproar</v>
      </c>
      <c r="I69" s="110">
        <v>48</v>
      </c>
      <c r="J69" s="124">
        <v>2</v>
      </c>
      <c r="K69" s="124"/>
      <c r="L69" s="117" t="str">
        <f t="shared" si="4"/>
        <v>23B74</v>
      </c>
      <c r="M69" s="141" t="str">
        <f t="shared" si="5"/>
        <v>FD 00 30 02</v>
      </c>
      <c r="N69" s="141"/>
      <c r="O69" s="141"/>
      <c r="P69" s="141"/>
      <c r="Q69" s="142"/>
      <c r="R69" s="70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 spans="1:28" x14ac:dyDescent="0.25">
      <c r="A70" s="51"/>
      <c r="B70" s="64"/>
      <c r="C70" s="39"/>
      <c r="D70" s="67"/>
      <c r="E70" s="59">
        <v>39</v>
      </c>
      <c r="F70" s="124">
        <v>162</v>
      </c>
      <c r="G70" s="124"/>
      <c r="H70" s="53" t="str">
        <f>VLOOKUP(F70,Lookups!$D:$E,2,0)</f>
        <v>Super Fang</v>
      </c>
      <c r="I70" s="110">
        <v>40</v>
      </c>
      <c r="J70" s="124">
        <v>1</v>
      </c>
      <c r="K70" s="124"/>
      <c r="L70" s="117" t="str">
        <f t="shared" si="4"/>
        <v>23B78</v>
      </c>
      <c r="M70" s="141" t="str">
        <f t="shared" si="5"/>
        <v>A2 00 28 01</v>
      </c>
      <c r="N70" s="141"/>
      <c r="O70" s="141"/>
      <c r="P70" s="141"/>
      <c r="Q70" s="142"/>
      <c r="R70" s="70"/>
      <c r="S70" s="51"/>
      <c r="T70" s="51"/>
      <c r="U70" s="51"/>
      <c r="V70" s="51"/>
      <c r="W70" s="51"/>
      <c r="X70" s="51"/>
      <c r="Y70" s="51"/>
      <c r="Z70" s="51"/>
      <c r="AA70" s="51"/>
      <c r="AB70" s="51"/>
    </row>
    <row r="71" spans="1:28" x14ac:dyDescent="0.25">
      <c r="A71" s="51"/>
      <c r="B71" s="64"/>
      <c r="C71" s="39"/>
      <c r="D71" s="67"/>
      <c r="E71" s="59">
        <v>40</v>
      </c>
      <c r="F71" s="124">
        <v>220</v>
      </c>
      <c r="G71" s="124"/>
      <c r="H71" s="53" t="str">
        <f>VLOOKUP(F71,Lookups!$D:$E,2,0)</f>
        <v>Pain Split</v>
      </c>
      <c r="I71" s="110">
        <v>64</v>
      </c>
      <c r="J71" s="124">
        <v>1</v>
      </c>
      <c r="K71" s="124"/>
      <c r="L71" s="117" t="str">
        <f t="shared" si="4"/>
        <v>23B7C</v>
      </c>
      <c r="M71" s="141" t="str">
        <f t="shared" si="5"/>
        <v>DC 00 40 01</v>
      </c>
      <c r="N71" s="141"/>
      <c r="O71" s="141"/>
      <c r="P71" s="141"/>
      <c r="Q71" s="142"/>
      <c r="R71" s="70"/>
      <c r="S71" s="51"/>
      <c r="T71" s="51"/>
      <c r="U71" s="51"/>
      <c r="V71" s="51"/>
      <c r="W71" s="51"/>
      <c r="X71" s="51"/>
      <c r="Y71" s="51"/>
      <c r="Z71" s="51"/>
      <c r="AA71" s="51"/>
      <c r="AB71" s="51"/>
    </row>
    <row r="72" spans="1:28" x14ac:dyDescent="0.25">
      <c r="A72" s="51"/>
      <c r="B72" s="64"/>
      <c r="C72" s="39"/>
      <c r="D72" s="67"/>
      <c r="E72" s="59">
        <v>41</v>
      </c>
      <c r="F72" s="124">
        <v>81</v>
      </c>
      <c r="G72" s="124"/>
      <c r="H72" s="53" t="str">
        <f>VLOOKUP(F72,Lookups!$D:$E,2,0)</f>
        <v>String Shot</v>
      </c>
      <c r="I72" s="110">
        <v>32</v>
      </c>
      <c r="J72" s="124">
        <v>2</v>
      </c>
      <c r="K72" s="124"/>
      <c r="L72" s="117" t="str">
        <f t="shared" si="4"/>
        <v>23B80</v>
      </c>
      <c r="M72" s="141" t="str">
        <f t="shared" si="5"/>
        <v>51 00 20 02</v>
      </c>
      <c r="N72" s="141"/>
      <c r="O72" s="141"/>
      <c r="P72" s="141"/>
      <c r="Q72" s="142"/>
      <c r="R72" s="70"/>
      <c r="S72" s="51"/>
      <c r="T72" s="51"/>
      <c r="U72" s="51"/>
      <c r="V72" s="51"/>
      <c r="W72" s="51"/>
      <c r="X72" s="51"/>
      <c r="Y72" s="51"/>
      <c r="Z72" s="51"/>
      <c r="AA72" s="51"/>
      <c r="AB72" s="51"/>
    </row>
    <row r="73" spans="1:28" x14ac:dyDescent="0.25">
      <c r="A73" s="51"/>
      <c r="B73" s="64"/>
      <c r="C73" s="39"/>
      <c r="D73" s="67"/>
      <c r="E73" s="59">
        <v>42</v>
      </c>
      <c r="F73" s="124">
        <v>366</v>
      </c>
      <c r="G73" s="124"/>
      <c r="H73" s="53" t="str">
        <f>VLOOKUP(F73,Lookups!$D:$E,2,0)</f>
        <v>Tailwind</v>
      </c>
      <c r="I73" s="110">
        <v>48</v>
      </c>
      <c r="J73" s="124">
        <v>2</v>
      </c>
      <c r="K73" s="124"/>
      <c r="L73" s="117" t="str">
        <f t="shared" si="4"/>
        <v>23B84</v>
      </c>
      <c r="M73" s="141" t="str">
        <f t="shared" si="5"/>
        <v>6E 01 30 02</v>
      </c>
      <c r="N73" s="141"/>
      <c r="O73" s="141"/>
      <c r="P73" s="141"/>
      <c r="Q73" s="142"/>
      <c r="R73" s="70"/>
      <c r="S73" s="51"/>
      <c r="T73" s="51"/>
      <c r="U73" s="51"/>
      <c r="V73" s="51"/>
      <c r="W73" s="51"/>
      <c r="X73" s="51"/>
      <c r="Y73" s="51"/>
      <c r="Z73" s="51"/>
      <c r="AA73" s="51"/>
      <c r="AB73" s="51"/>
    </row>
    <row r="74" spans="1:28" x14ac:dyDescent="0.25">
      <c r="A74" s="51"/>
      <c r="B74" s="64"/>
      <c r="C74" s="39"/>
      <c r="D74" s="67"/>
      <c r="E74" s="59">
        <v>43</v>
      </c>
      <c r="F74" s="124">
        <v>356</v>
      </c>
      <c r="G74" s="124"/>
      <c r="H74" s="53" t="str">
        <f>VLOOKUP(F74,Lookups!$D:$E,2,0)</f>
        <v>Gravity</v>
      </c>
      <c r="I74" s="110">
        <v>32</v>
      </c>
      <c r="J74" s="124">
        <v>2</v>
      </c>
      <c r="K74" s="124"/>
      <c r="L74" s="117" t="str">
        <f t="shared" si="4"/>
        <v>23B88</v>
      </c>
      <c r="M74" s="141" t="str">
        <f t="shared" si="5"/>
        <v>64 01 20 02</v>
      </c>
      <c r="N74" s="141"/>
      <c r="O74" s="141"/>
      <c r="P74" s="141"/>
      <c r="Q74" s="142"/>
      <c r="R74" s="70"/>
      <c r="S74" s="51"/>
      <c r="T74" s="51"/>
      <c r="U74" s="51"/>
      <c r="V74" s="51"/>
      <c r="W74" s="51"/>
      <c r="X74" s="51"/>
      <c r="Y74" s="51"/>
      <c r="Z74" s="51"/>
      <c r="AA74" s="51"/>
      <c r="AB74" s="51"/>
    </row>
    <row r="75" spans="1:28" x14ac:dyDescent="0.25">
      <c r="A75" s="51"/>
      <c r="B75" s="64"/>
      <c r="C75" s="39"/>
      <c r="D75" s="67"/>
      <c r="E75" s="59">
        <v>44</v>
      </c>
      <c r="F75" s="124">
        <v>388</v>
      </c>
      <c r="G75" s="124"/>
      <c r="H75" s="53" t="str">
        <f>VLOOKUP(F75,Lookups!$D:$E,2,0)</f>
        <v>Worry Seed</v>
      </c>
      <c r="I75" s="110">
        <v>32</v>
      </c>
      <c r="J75" s="124">
        <v>2</v>
      </c>
      <c r="K75" s="124"/>
      <c r="L75" s="117" t="str">
        <f t="shared" si="4"/>
        <v>23B8C</v>
      </c>
      <c r="M75" s="141" t="str">
        <f t="shared" si="5"/>
        <v>84 01 20 02</v>
      </c>
      <c r="N75" s="141"/>
      <c r="O75" s="141"/>
      <c r="P75" s="141"/>
      <c r="Q75" s="142"/>
      <c r="R75" s="70"/>
      <c r="S75" s="51"/>
      <c r="T75" s="51"/>
      <c r="U75" s="51"/>
      <c r="V75" s="51"/>
      <c r="W75" s="51"/>
      <c r="X75" s="51"/>
      <c r="Y75" s="51"/>
      <c r="Z75" s="51"/>
      <c r="AA75" s="51"/>
      <c r="AB75" s="51"/>
    </row>
    <row r="76" spans="1:28" x14ac:dyDescent="0.25">
      <c r="A76" s="51"/>
      <c r="B76" s="64"/>
      <c r="C76" s="39"/>
      <c r="D76" s="67"/>
      <c r="E76" s="59">
        <v>45</v>
      </c>
      <c r="F76" s="124">
        <v>277</v>
      </c>
      <c r="G76" s="124"/>
      <c r="H76" s="53" t="str">
        <f>VLOOKUP(F76,Lookups!$D:$E,2,0)</f>
        <v>Magic Coat</v>
      </c>
      <c r="I76" s="110">
        <v>32</v>
      </c>
      <c r="J76" s="124">
        <v>2</v>
      </c>
      <c r="K76" s="124"/>
      <c r="L76" s="117" t="str">
        <f t="shared" si="4"/>
        <v>23B90</v>
      </c>
      <c r="M76" s="141" t="str">
        <f t="shared" si="5"/>
        <v>15 01 20 02</v>
      </c>
      <c r="N76" s="141"/>
      <c r="O76" s="141"/>
      <c r="P76" s="141"/>
      <c r="Q76" s="142"/>
      <c r="R76" s="70"/>
      <c r="S76" s="51"/>
      <c r="T76" s="51"/>
      <c r="U76" s="51"/>
      <c r="V76" s="51"/>
      <c r="W76" s="51"/>
      <c r="X76" s="51"/>
      <c r="Y76" s="51"/>
      <c r="Z76" s="51"/>
      <c r="AA76" s="51"/>
      <c r="AB76" s="51"/>
    </row>
    <row r="77" spans="1:28" x14ac:dyDescent="0.25">
      <c r="A77" s="51"/>
      <c r="B77" s="64"/>
      <c r="C77" s="39"/>
      <c r="D77" s="67"/>
      <c r="E77" s="59">
        <v>46</v>
      </c>
      <c r="F77" s="124">
        <v>272</v>
      </c>
      <c r="G77" s="124"/>
      <c r="H77" s="53" t="str">
        <f>VLOOKUP(F77,Lookups!$D:$E,2,0)</f>
        <v>Role Play</v>
      </c>
      <c r="I77" s="110">
        <v>48</v>
      </c>
      <c r="J77" s="124">
        <v>2</v>
      </c>
      <c r="K77" s="124"/>
      <c r="L77" s="117" t="str">
        <f t="shared" si="4"/>
        <v>23B94</v>
      </c>
      <c r="M77" s="141" t="str">
        <f t="shared" si="5"/>
        <v>10 01 30 02</v>
      </c>
      <c r="N77" s="141"/>
      <c r="O77" s="141"/>
      <c r="P77" s="141"/>
      <c r="Q77" s="142"/>
      <c r="R77" s="70"/>
      <c r="S77" s="51"/>
      <c r="T77" s="51"/>
      <c r="U77" s="51"/>
      <c r="V77" s="51"/>
      <c r="W77" s="51"/>
      <c r="X77" s="51"/>
      <c r="Y77" s="51"/>
      <c r="Z77" s="51"/>
      <c r="AA77" s="51"/>
      <c r="AB77" s="51"/>
    </row>
    <row r="78" spans="1:28" x14ac:dyDescent="0.25">
      <c r="A78" s="51"/>
      <c r="B78" s="64"/>
      <c r="C78" s="39"/>
      <c r="D78" s="67"/>
      <c r="E78" s="59">
        <v>47</v>
      </c>
      <c r="F78" s="124">
        <v>215</v>
      </c>
      <c r="G78" s="124"/>
      <c r="H78" s="53" t="str">
        <f>VLOOKUP(F78,Lookups!$D:$E,2,0)</f>
        <v>Heal Bell</v>
      </c>
      <c r="I78" s="110">
        <v>48</v>
      </c>
      <c r="J78" s="124">
        <v>2</v>
      </c>
      <c r="K78" s="124"/>
      <c r="L78" s="117" t="str">
        <f t="shared" si="4"/>
        <v>23B98</v>
      </c>
      <c r="M78" s="141" t="str">
        <f t="shared" si="5"/>
        <v>D7 00 30 02</v>
      </c>
      <c r="N78" s="141"/>
      <c r="O78" s="141"/>
      <c r="P78" s="141"/>
      <c r="Q78" s="142"/>
      <c r="R78" s="70"/>
      <c r="S78" s="51"/>
      <c r="T78" s="51"/>
      <c r="U78" s="51"/>
      <c r="V78" s="51"/>
      <c r="W78" s="51"/>
      <c r="X78" s="51"/>
      <c r="Y78" s="51"/>
      <c r="Z78" s="51"/>
      <c r="AA78" s="51"/>
      <c r="AB78" s="51"/>
    </row>
    <row r="79" spans="1:28" x14ac:dyDescent="0.25">
      <c r="A79" s="51"/>
      <c r="B79" s="64"/>
      <c r="C79" s="39"/>
      <c r="D79" s="67"/>
      <c r="E79" s="59">
        <v>48</v>
      </c>
      <c r="F79" s="124">
        <v>67</v>
      </c>
      <c r="G79" s="124"/>
      <c r="H79" s="53" t="str">
        <f>VLOOKUP(F79,Lookups!$D:$E,2,0)</f>
        <v>Low Kick</v>
      </c>
      <c r="I79" s="110">
        <v>32</v>
      </c>
      <c r="J79" s="124">
        <v>1</v>
      </c>
      <c r="K79" s="124"/>
      <c r="L79" s="117" t="str">
        <f t="shared" si="4"/>
        <v>23B9C</v>
      </c>
      <c r="M79" s="141" t="str">
        <f t="shared" si="5"/>
        <v>43 00 20 01</v>
      </c>
      <c r="N79" s="141"/>
      <c r="O79" s="141"/>
      <c r="P79" s="141"/>
      <c r="Q79" s="142"/>
      <c r="R79" s="70"/>
      <c r="S79" s="51"/>
      <c r="T79" s="51"/>
      <c r="U79" s="51"/>
      <c r="V79" s="51"/>
      <c r="W79" s="51"/>
      <c r="X79" s="51"/>
      <c r="Y79" s="51"/>
      <c r="Z79" s="51"/>
      <c r="AA79" s="51"/>
      <c r="AB79" s="51"/>
    </row>
    <row r="80" spans="1:28" x14ac:dyDescent="0.25">
      <c r="A80" s="51"/>
      <c r="B80" s="64"/>
      <c r="C80" s="39"/>
      <c r="D80" s="67"/>
      <c r="E80" s="59">
        <v>49</v>
      </c>
      <c r="F80" s="124">
        <v>143</v>
      </c>
      <c r="G80" s="124"/>
      <c r="H80" s="53" t="str">
        <f>VLOOKUP(F80,Lookups!$D:$E,2,0)</f>
        <v>Sky Attack</v>
      </c>
      <c r="I80" s="110">
        <v>64</v>
      </c>
      <c r="J80" s="124">
        <v>1</v>
      </c>
      <c r="K80" s="124"/>
      <c r="L80" s="117" t="str">
        <f t="shared" si="4"/>
        <v>23BA0</v>
      </c>
      <c r="M80" s="141" t="str">
        <f t="shared" si="5"/>
        <v>8F 00 40 01</v>
      </c>
      <c r="N80" s="141"/>
      <c r="O80" s="141"/>
      <c r="P80" s="141"/>
      <c r="Q80" s="142"/>
      <c r="R80" s="70"/>
      <c r="S80" s="51"/>
      <c r="T80" s="101"/>
      <c r="U80" s="51"/>
      <c r="V80" s="51"/>
      <c r="W80" s="51"/>
      <c r="X80" s="51"/>
      <c r="Y80" s="51"/>
      <c r="Z80" s="51"/>
      <c r="AA80" s="51"/>
      <c r="AB80" s="51"/>
    </row>
    <row r="81" spans="1:28" x14ac:dyDescent="0.25">
      <c r="A81" s="51"/>
      <c r="B81" s="64"/>
      <c r="C81" s="39"/>
      <c r="D81" s="67"/>
      <c r="E81" s="59">
        <v>50</v>
      </c>
      <c r="F81" s="124">
        <v>335</v>
      </c>
      <c r="G81" s="124"/>
      <c r="H81" s="53" t="str">
        <f>VLOOKUP(F81,Lookups!$D:$E,2,0)</f>
        <v>Block</v>
      </c>
      <c r="I81" s="110">
        <v>32</v>
      </c>
      <c r="J81" s="124">
        <v>2</v>
      </c>
      <c r="K81" s="124"/>
      <c r="L81" s="117" t="str">
        <f t="shared" si="4"/>
        <v>23BA4</v>
      </c>
      <c r="M81" s="141" t="str">
        <f t="shared" si="5"/>
        <v>4F 01 20 02</v>
      </c>
      <c r="N81" s="141"/>
      <c r="O81" s="141"/>
      <c r="P81" s="141"/>
      <c r="Q81" s="142"/>
      <c r="R81" s="70"/>
      <c r="S81" s="51"/>
      <c r="T81" s="101"/>
      <c r="U81" s="51"/>
      <c r="V81" s="51"/>
      <c r="W81" s="51"/>
      <c r="X81" s="51"/>
      <c r="Y81" s="51"/>
      <c r="Z81" s="51"/>
      <c r="AA81" s="51"/>
      <c r="AB81" s="51"/>
    </row>
    <row r="82" spans="1:28" x14ac:dyDescent="0.25">
      <c r="A82" s="51"/>
      <c r="B82" s="64"/>
      <c r="C82" s="39"/>
      <c r="D82" s="67"/>
      <c r="E82" s="59">
        <v>51</v>
      </c>
      <c r="F82" s="124">
        <v>450</v>
      </c>
      <c r="G82" s="124"/>
      <c r="H82" s="53" t="str">
        <f>VLOOKUP(F82,Lookups!$D:$E,2,0)</f>
        <v>Bug Bite</v>
      </c>
      <c r="I82" s="110">
        <v>32</v>
      </c>
      <c r="J82" s="124">
        <v>0</v>
      </c>
      <c r="K82" s="124"/>
      <c r="L82" s="117" t="str">
        <f t="shared" si="4"/>
        <v>23BA8</v>
      </c>
      <c r="M82" s="141" t="str">
        <f t="shared" si="5"/>
        <v>C2 01 20 00</v>
      </c>
      <c r="N82" s="141"/>
      <c r="O82" s="141"/>
      <c r="P82" s="141"/>
      <c r="Q82" s="142"/>
      <c r="R82" s="70"/>
      <c r="S82" s="51"/>
      <c r="T82" s="101"/>
      <c r="U82" s="51"/>
      <c r="V82" s="51"/>
      <c r="W82" s="51"/>
      <c r="X82" s="51"/>
      <c r="Y82" s="51"/>
      <c r="Z82" s="51"/>
      <c r="AA82" s="51"/>
      <c r="AB82" s="51"/>
    </row>
    <row r="83" spans="1:28" x14ac:dyDescent="0.25">
      <c r="A83" s="51"/>
      <c r="B83" s="64"/>
      <c r="C83" s="39"/>
      <c r="D83" s="67"/>
      <c r="E83" s="59">
        <v>52</v>
      </c>
      <c r="F83" s="124">
        <v>29</v>
      </c>
      <c r="G83" s="124"/>
      <c r="H83" s="53" t="str">
        <f>VLOOKUP(F83,Lookups!$D:$E,2,0)</f>
        <v>Headbutt</v>
      </c>
      <c r="I83" s="110">
        <v>0</v>
      </c>
      <c r="J83" s="124">
        <v>3</v>
      </c>
      <c r="K83" s="124"/>
      <c r="L83" s="117" t="str">
        <f t="shared" si="4"/>
        <v>23BAC</v>
      </c>
      <c r="M83" s="141" t="str">
        <f t="shared" si="5"/>
        <v>1D 00 00 03</v>
      </c>
      <c r="N83" s="141"/>
      <c r="O83" s="141"/>
      <c r="P83" s="141"/>
      <c r="Q83" s="142"/>
      <c r="R83" s="70"/>
      <c r="S83" s="51"/>
      <c r="T83" s="101"/>
      <c r="U83" s="51"/>
      <c r="V83" s="51"/>
      <c r="W83" s="51"/>
      <c r="X83" s="51"/>
      <c r="Y83" s="51"/>
      <c r="Z83" s="51"/>
      <c r="AA83" s="51"/>
      <c r="AB83" s="51"/>
    </row>
    <row r="84" spans="1:28" x14ac:dyDescent="0.25">
      <c r="A84" s="51"/>
      <c r="B84" s="64"/>
      <c r="C84" s="39"/>
      <c r="D84" s="67"/>
      <c r="E84" s="59">
        <v>53</v>
      </c>
      <c r="F84" s="124">
        <v>4096</v>
      </c>
      <c r="G84" s="124"/>
      <c r="H84" s="53" t="str">
        <f>VLOOKUP(F84,Lookups!$D:$E,2,0)</f>
        <v>Unused</v>
      </c>
      <c r="I84" s="110">
        <v>0</v>
      </c>
      <c r="J84" s="124">
        <v>0</v>
      </c>
      <c r="K84" s="124"/>
      <c r="L84" s="117" t="str">
        <f t="shared" si="4"/>
        <v>23BB0</v>
      </c>
      <c r="M84" s="141" t="str">
        <f t="shared" si="5"/>
        <v>00 10 00 00</v>
      </c>
      <c r="N84" s="141"/>
      <c r="O84" s="141"/>
      <c r="P84" s="141"/>
      <c r="Q84" s="142"/>
      <c r="R84" s="70"/>
      <c r="S84" s="51"/>
      <c r="T84" s="123"/>
      <c r="U84" s="51"/>
      <c r="V84" s="51"/>
      <c r="W84" s="51"/>
      <c r="X84" s="51"/>
      <c r="Y84" s="51"/>
      <c r="Z84" s="51"/>
      <c r="AA84" s="51"/>
      <c r="AB84" s="51"/>
    </row>
    <row r="85" spans="1:28" x14ac:dyDescent="0.25">
      <c r="A85" s="51"/>
      <c r="B85" s="64"/>
      <c r="C85" s="39"/>
      <c r="D85" s="67"/>
      <c r="E85" s="59">
        <v>54</v>
      </c>
      <c r="F85" s="124">
        <v>4096</v>
      </c>
      <c r="G85" s="124"/>
      <c r="H85" s="53" t="str">
        <f>VLOOKUP(F85,Lookups!$D:$E,2,0)</f>
        <v>Unused</v>
      </c>
      <c r="I85" s="110">
        <v>0</v>
      </c>
      <c r="J85" s="124">
        <v>0</v>
      </c>
      <c r="K85" s="124"/>
      <c r="L85" s="117" t="str">
        <f t="shared" si="4"/>
        <v>23BB4</v>
      </c>
      <c r="M85" s="141" t="str">
        <f t="shared" si="5"/>
        <v>00 10 00 00</v>
      </c>
      <c r="N85" s="141"/>
      <c r="O85" s="141"/>
      <c r="P85" s="141"/>
      <c r="Q85" s="142"/>
      <c r="R85" s="70"/>
      <c r="S85" s="51"/>
      <c r="T85" s="123"/>
      <c r="U85" s="51"/>
      <c r="V85" s="51"/>
      <c r="W85" s="51"/>
      <c r="X85" s="51"/>
      <c r="Y85" s="51"/>
      <c r="Z85" s="51"/>
      <c r="AA85" s="51"/>
      <c r="AB85" s="51"/>
    </row>
    <row r="86" spans="1:28" x14ac:dyDescent="0.25">
      <c r="A86" s="51"/>
      <c r="B86" s="64"/>
      <c r="C86" s="39"/>
      <c r="D86" s="67"/>
      <c r="E86" s="59">
        <v>55</v>
      </c>
      <c r="F86" s="124">
        <v>4096</v>
      </c>
      <c r="G86" s="124"/>
      <c r="H86" s="53" t="str">
        <f>VLOOKUP(F86,Lookups!$D:$E,2,0)</f>
        <v>Unused</v>
      </c>
      <c r="I86" s="110">
        <v>0</v>
      </c>
      <c r="J86" s="124">
        <v>0</v>
      </c>
      <c r="K86" s="124"/>
      <c r="L86" s="117" t="str">
        <f t="shared" si="4"/>
        <v>23BB8</v>
      </c>
      <c r="M86" s="141" t="str">
        <f t="shared" si="5"/>
        <v>00 10 00 00</v>
      </c>
      <c r="N86" s="141"/>
      <c r="O86" s="141"/>
      <c r="P86" s="141"/>
      <c r="Q86" s="142"/>
      <c r="R86" s="70"/>
      <c r="S86" s="51"/>
      <c r="T86" s="123"/>
      <c r="U86" s="51"/>
      <c r="V86" s="51"/>
      <c r="W86" s="51"/>
      <c r="X86" s="51"/>
      <c r="Y86" s="51"/>
      <c r="Z86" s="51"/>
      <c r="AA86" s="51"/>
      <c r="AB86" s="51"/>
    </row>
    <row r="87" spans="1:28" x14ac:dyDescent="0.25">
      <c r="A87" s="51"/>
      <c r="B87" s="64"/>
      <c r="C87" s="39"/>
      <c r="D87" s="67"/>
      <c r="E87" s="59">
        <v>56</v>
      </c>
      <c r="F87" s="124">
        <v>4096</v>
      </c>
      <c r="G87" s="124"/>
      <c r="H87" s="53" t="str">
        <f>VLOOKUP(F87,Lookups!$D:$E,2,0)</f>
        <v>Unused</v>
      </c>
      <c r="I87" s="110">
        <v>0</v>
      </c>
      <c r="J87" s="124">
        <v>0</v>
      </c>
      <c r="K87" s="124"/>
      <c r="L87" s="117" t="str">
        <f t="shared" si="4"/>
        <v>23BBC</v>
      </c>
      <c r="M87" s="141" t="str">
        <f t="shared" si="5"/>
        <v>00 10 00 00</v>
      </c>
      <c r="N87" s="141"/>
      <c r="O87" s="141"/>
      <c r="P87" s="141"/>
      <c r="Q87" s="142"/>
      <c r="R87" s="70"/>
      <c r="S87" s="51"/>
      <c r="T87" s="123"/>
      <c r="U87" s="51"/>
      <c r="V87" s="51"/>
      <c r="W87" s="51"/>
      <c r="X87" s="51"/>
      <c r="Y87" s="51"/>
      <c r="Z87" s="51"/>
      <c r="AA87" s="51"/>
      <c r="AB87" s="51"/>
    </row>
    <row r="88" spans="1:28" x14ac:dyDescent="0.25">
      <c r="A88" s="51"/>
      <c r="B88" s="64"/>
      <c r="C88" s="39"/>
      <c r="D88" s="67"/>
      <c r="E88" s="59">
        <v>57</v>
      </c>
      <c r="F88" s="124">
        <v>4096</v>
      </c>
      <c r="G88" s="124"/>
      <c r="H88" s="53" t="str">
        <f>VLOOKUP(F88,Lookups!$D:$E,2,0)</f>
        <v>Unused</v>
      </c>
      <c r="I88" s="110">
        <v>0</v>
      </c>
      <c r="J88" s="124">
        <v>0</v>
      </c>
      <c r="K88" s="124"/>
      <c r="L88" s="117" t="str">
        <f t="shared" si="4"/>
        <v>23BC0</v>
      </c>
      <c r="M88" s="141" t="str">
        <f t="shared" si="5"/>
        <v>00 10 00 00</v>
      </c>
      <c r="N88" s="141"/>
      <c r="O88" s="141"/>
      <c r="P88" s="141"/>
      <c r="Q88" s="142"/>
      <c r="R88" s="70"/>
      <c r="S88" s="51"/>
      <c r="T88" s="123"/>
      <c r="U88" s="51"/>
      <c r="V88" s="51"/>
      <c r="W88" s="51"/>
      <c r="X88" s="51"/>
      <c r="Y88" s="51"/>
      <c r="Z88" s="51"/>
      <c r="AA88" s="51"/>
      <c r="AB88" s="51"/>
    </row>
    <row r="89" spans="1:28" ht="15.75" thickBot="1" x14ac:dyDescent="0.3">
      <c r="A89" s="51"/>
      <c r="B89" s="64"/>
      <c r="C89" s="39"/>
      <c r="D89" s="67"/>
      <c r="E89" s="60">
        <v>58</v>
      </c>
      <c r="F89" s="145">
        <v>4096</v>
      </c>
      <c r="G89" s="145"/>
      <c r="H89" s="61" t="str">
        <f>VLOOKUP(F89,Lookups!$D:$E,2,0)</f>
        <v>Unused</v>
      </c>
      <c r="I89" s="111">
        <v>0</v>
      </c>
      <c r="J89" s="145">
        <v>0</v>
      </c>
      <c r="K89" s="145"/>
      <c r="L89" s="122" t="str">
        <f t="shared" si="4"/>
        <v>23BC4</v>
      </c>
      <c r="M89" s="143" t="str">
        <f t="shared" si="5"/>
        <v>00 10 00 00</v>
      </c>
      <c r="N89" s="143"/>
      <c r="O89" s="143"/>
      <c r="P89" s="143"/>
      <c r="Q89" s="144"/>
      <c r="R89" s="70"/>
      <c r="S89" s="51"/>
      <c r="T89" s="123"/>
      <c r="U89" s="51"/>
      <c r="V89" s="51"/>
      <c r="W89" s="51"/>
      <c r="X89" s="51"/>
      <c r="Y89" s="51"/>
      <c r="Z89" s="51"/>
      <c r="AA89" s="51"/>
      <c r="AB89" s="51"/>
    </row>
    <row r="90" spans="1:28" x14ac:dyDescent="0.25">
      <c r="A90" s="51"/>
      <c r="B90" s="64"/>
      <c r="C90" s="39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8"/>
      <c r="O90" s="39"/>
      <c r="P90" s="68"/>
      <c r="Q90" s="68"/>
      <c r="R90" s="70"/>
      <c r="S90" s="51"/>
      <c r="T90" s="101"/>
      <c r="U90" s="51"/>
      <c r="V90" s="51"/>
      <c r="W90" s="51"/>
      <c r="X90" s="51"/>
      <c r="Y90" s="51"/>
      <c r="Z90" s="51"/>
      <c r="AA90" s="51"/>
      <c r="AB90" s="51"/>
    </row>
    <row r="91" spans="1:28" x14ac:dyDescent="0.25">
      <c r="A91" s="51"/>
      <c r="B91" s="64"/>
      <c r="C91" s="148" t="s">
        <v>992</v>
      </c>
      <c r="D91" s="148"/>
      <c r="E91" s="148"/>
      <c r="F91" s="148"/>
      <c r="G91" s="148"/>
      <c r="H91" s="148"/>
      <c r="I91" s="148"/>
      <c r="J91" s="148"/>
      <c r="K91" s="67"/>
      <c r="L91" s="54" t="s">
        <v>1</v>
      </c>
      <c r="M91" s="67"/>
      <c r="N91" s="68"/>
      <c r="O91" s="39"/>
      <c r="P91" s="68"/>
      <c r="Q91" s="68"/>
      <c r="R91" s="70"/>
      <c r="S91" s="51"/>
      <c r="T91" s="101"/>
      <c r="U91" s="51"/>
      <c r="V91" s="51"/>
      <c r="W91" s="51"/>
      <c r="X91" s="51"/>
      <c r="Y91" s="51"/>
      <c r="Z91" s="51"/>
      <c r="AA91" s="51"/>
      <c r="AB91" s="51"/>
    </row>
    <row r="92" spans="1:28" x14ac:dyDescent="0.25">
      <c r="A92" s="51"/>
      <c r="B92" s="64"/>
      <c r="C92" s="148"/>
      <c r="D92" s="148"/>
      <c r="E92" s="148"/>
      <c r="F92" s="148"/>
      <c r="G92" s="148"/>
      <c r="H92" s="148"/>
      <c r="I92" s="148"/>
      <c r="J92" s="148"/>
      <c r="K92" s="67"/>
      <c r="L92" s="117" t="str">
        <f>L32</f>
        <v>23AE0</v>
      </c>
      <c r="M92" s="67"/>
      <c r="N92" s="68"/>
      <c r="O92" s="39"/>
      <c r="P92" s="68"/>
      <c r="Q92" s="68"/>
      <c r="R92" s="70"/>
      <c r="S92" s="51"/>
      <c r="T92" s="101"/>
      <c r="U92" s="51"/>
      <c r="V92" s="51"/>
      <c r="W92" s="51"/>
      <c r="X92" s="51"/>
      <c r="Y92" s="51"/>
      <c r="Z92" s="51"/>
      <c r="AA92" s="51"/>
      <c r="AB92" s="51"/>
    </row>
    <row r="93" spans="1:28" x14ac:dyDescent="0.25">
      <c r="A93" s="51"/>
      <c r="B93" s="64"/>
      <c r="C93" s="39"/>
      <c r="D93" s="67"/>
      <c r="E93" s="67"/>
      <c r="F93" s="67"/>
      <c r="G93" s="67"/>
      <c r="H93" s="67"/>
      <c r="I93" s="67"/>
      <c r="J93" s="67"/>
      <c r="K93" s="67"/>
      <c r="L93" s="68"/>
      <c r="M93" s="67"/>
      <c r="N93" s="68"/>
      <c r="O93" s="39"/>
      <c r="P93" s="68"/>
      <c r="Q93" s="68"/>
      <c r="R93" s="70"/>
      <c r="S93" s="51"/>
      <c r="T93" s="101"/>
      <c r="U93" s="51"/>
      <c r="V93" s="51"/>
      <c r="W93" s="51"/>
      <c r="X93" s="51"/>
      <c r="Y93" s="51"/>
      <c r="Z93" s="51"/>
      <c r="AA93" s="51"/>
      <c r="AB93" s="51"/>
    </row>
    <row r="94" spans="1:28" x14ac:dyDescent="0.25">
      <c r="A94" s="51"/>
      <c r="B94" s="64"/>
      <c r="C94" s="147" t="s">
        <v>991</v>
      </c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70"/>
      <c r="S94" s="51"/>
      <c r="T94" s="101"/>
      <c r="U94" s="51"/>
      <c r="V94" s="51"/>
      <c r="W94" s="51"/>
      <c r="X94" s="51"/>
      <c r="Y94" s="51"/>
      <c r="Z94" s="51"/>
      <c r="AA94" s="51"/>
      <c r="AB94" s="51"/>
    </row>
    <row r="95" spans="1:28" ht="93.75" customHeight="1" x14ac:dyDescent="0.25">
      <c r="A95" s="51"/>
      <c r="B95" s="64"/>
      <c r="C95" s="146" t="str">
        <f>M32&amp;" "&amp;M33&amp;" "&amp;M34&amp;" "&amp;M35&amp;" "&amp;M36&amp;" "&amp;M37&amp;" "&amp;M38&amp;" "&amp;M39&amp;" "&amp;M40&amp;" "&amp;M41&amp;" "&amp;M42&amp;" "&amp;M43&amp;" "&amp;M44&amp;" "&amp;M45&amp;" "&amp;M46&amp;" "&amp;M47&amp;" "&amp;M48&amp;" "&amp;M49&amp;" "&amp;M50&amp;" "&amp;M51&amp;" "&amp;M52&amp;" "&amp;M53&amp;" "&amp;M54&amp;" "&amp;M55&amp;" "&amp;M56&amp;" "&amp;M57&amp;" "&amp;M58&amp;" "&amp;M59&amp;" "&amp;M60&amp;" "&amp;M61&amp;" "&amp;M62&amp;" "&amp;M63&amp;" "&amp;M64&amp;" "&amp;M65&amp;" "&amp;M66&amp;" "&amp;M67&amp;" "&amp;M68&amp;" "&amp;M69&amp;" "&amp;M70&amp;" "&amp;M71&amp;" "&amp;M72&amp;" "&amp;M73&amp;" "&amp;M74&amp;" "&amp;M75&amp;" "&amp;M76&amp;" "&amp;M77&amp;" "&amp;M78&amp;" "&amp;M79&amp;" "&amp;M80&amp;" "&amp;M81&amp;" "&amp;M82&amp;" "&amp;M83&amp;" "&amp;M84&amp;" "&amp;M85&amp;" "&amp;M86&amp;" "&amp;M87&amp;" "&amp;M88&amp;" "&amp;M89</f>
        <v>23 01 28 00 BD 00 20 01 D2 00 20 00 C4 00 30 00 CD 00 20 01 09 00 40 00 07 00 40 00 14 01 30 01 08 00 40 00 BA 01 28 01 91 01 28 01 D2 01 30 00 7C 01 20 01 AD 00 20 02 B4 00 28 02 3A 01 30 00 0E 01 28 02 1B 01 40 01 C8 00 30 01 F6 00 28 01 EB 00 28 02 44 01 28 01 AC 01 40 00 9A 01 30 00 9E 01 28 01 B9 01 20 01 EF 00 28 01 92 01 28 01 4E 01 28 01 89 01 28 02 83 01 30 02 54 01 20 01 0F 01 30 00 01 01 30 01 1A 01 28 00 85 01 28 00 81 00 28 02 FD 00 30 02 A2 00 28 01 DC 00 40 01 51 00 20 02 6E 01 30 02 64 01 20 02 84 01 20 02 15 01 20 02 10 01 30 02 D7 00 30 02 43 00 20 01 8F 00 40 01 4F 01 20 02 C2 01 20 00 1D 00 00 03 00 10 00 00 00 10 00 00 00 10 00 00 00 10 00 00 00 10 00 00 00 10 00 00</v>
      </c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70"/>
      <c r="S95" s="51"/>
      <c r="T95" s="101"/>
      <c r="U95" s="51"/>
      <c r="V95" s="51"/>
      <c r="W95" s="51"/>
      <c r="X95" s="51"/>
      <c r="Y95" s="51"/>
      <c r="Z95" s="51"/>
      <c r="AA95" s="51"/>
      <c r="AB95" s="51"/>
    </row>
    <row r="96" spans="1:28" ht="15.75" thickBot="1" x14ac:dyDescent="0.3">
      <c r="A96" s="51"/>
      <c r="B96" s="69"/>
      <c r="C96" s="45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71"/>
      <c r="O96" s="45"/>
      <c r="P96" s="71"/>
      <c r="Q96" s="71"/>
      <c r="R96" s="72"/>
      <c r="S96" s="51"/>
      <c r="T96" s="51"/>
      <c r="U96" s="51"/>
      <c r="V96" s="51"/>
      <c r="W96" s="51"/>
      <c r="X96" s="51"/>
      <c r="Y96" s="51"/>
      <c r="Z96" s="51"/>
      <c r="AA96" s="51"/>
      <c r="AB96" s="51"/>
    </row>
    <row r="97" spans="1:28" x14ac:dyDescent="0.25">
      <c r="A97" s="51"/>
      <c r="B97" s="51"/>
      <c r="D97" s="51"/>
      <c r="E97" s="51"/>
      <c r="F97" s="52"/>
      <c r="H97" s="51"/>
      <c r="I97" s="51"/>
      <c r="J97" s="52"/>
      <c r="L97" s="51"/>
      <c r="M97" s="51"/>
      <c r="N97" s="52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</row>
    <row r="98" spans="1:28" x14ac:dyDescent="0.25">
      <c r="A98" s="51"/>
      <c r="B98" s="51"/>
      <c r="D98" s="51"/>
      <c r="E98" s="51"/>
      <c r="F98" s="52"/>
      <c r="H98" s="51"/>
      <c r="I98" s="51"/>
      <c r="J98" s="52"/>
      <c r="L98" s="51"/>
      <c r="M98" s="51"/>
      <c r="N98" s="52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</row>
    <row r="99" spans="1:28" x14ac:dyDescent="0.25">
      <c r="A99" s="51"/>
      <c r="B99" s="51"/>
      <c r="D99" s="51"/>
      <c r="E99" s="51"/>
      <c r="F99" s="52"/>
      <c r="H99" s="51"/>
      <c r="I99" s="51"/>
      <c r="J99" s="52"/>
      <c r="L99" s="51"/>
      <c r="M99" s="51"/>
      <c r="N99" s="52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</row>
    <row r="100" spans="1:28" x14ac:dyDescent="0.25">
      <c r="A100" s="51"/>
      <c r="B100" s="51"/>
      <c r="D100" s="51"/>
      <c r="E100" s="51"/>
      <c r="F100" s="52"/>
      <c r="H100" s="51"/>
      <c r="I100" s="51"/>
      <c r="J100" s="52"/>
      <c r="L100" s="51"/>
      <c r="M100" s="51"/>
      <c r="N100" s="52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</row>
    <row r="101" spans="1:28" x14ac:dyDescent="0.25">
      <c r="A101" s="51"/>
      <c r="B101" s="51"/>
      <c r="D101" s="51"/>
      <c r="E101" s="51"/>
      <c r="F101" s="52"/>
      <c r="H101" s="51"/>
      <c r="I101" s="51"/>
      <c r="J101" s="52"/>
      <c r="L101" s="51"/>
      <c r="M101" s="51"/>
      <c r="N101" s="52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</row>
    <row r="102" spans="1:28" x14ac:dyDescent="0.25">
      <c r="A102" s="51"/>
      <c r="B102" s="51"/>
      <c r="D102" s="51"/>
      <c r="E102" s="51"/>
      <c r="F102" s="52"/>
      <c r="H102" s="51"/>
      <c r="I102" s="51"/>
      <c r="J102" s="52"/>
      <c r="L102" s="51"/>
      <c r="M102" s="51"/>
      <c r="N102" s="52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</row>
    <row r="103" spans="1:28" x14ac:dyDescent="0.25">
      <c r="A103" s="51"/>
      <c r="B103" s="51"/>
      <c r="D103" s="51"/>
      <c r="E103" s="51"/>
      <c r="F103" s="52"/>
      <c r="H103" s="51"/>
      <c r="I103" s="51"/>
      <c r="J103" s="52"/>
      <c r="L103" s="51"/>
      <c r="M103" s="51"/>
      <c r="N103" s="52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</row>
    <row r="104" spans="1:28" x14ac:dyDescent="0.25">
      <c r="A104" s="51"/>
      <c r="B104" s="51"/>
      <c r="D104" s="51"/>
      <c r="E104" s="51"/>
      <c r="F104" s="52"/>
      <c r="H104" s="51"/>
      <c r="I104" s="51"/>
      <c r="J104" s="52"/>
      <c r="L104" s="51"/>
      <c r="M104" s="51"/>
      <c r="N104" s="52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</row>
    <row r="105" spans="1:28" x14ac:dyDescent="0.25">
      <c r="A105" s="51"/>
      <c r="B105" s="51"/>
      <c r="D105" s="51"/>
      <c r="E105" s="51"/>
      <c r="F105" s="52"/>
      <c r="H105" s="51"/>
      <c r="I105" s="51"/>
      <c r="J105" s="52"/>
      <c r="L105" s="51"/>
      <c r="M105" s="51"/>
      <c r="N105" s="52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</row>
    <row r="106" spans="1:28" x14ac:dyDescent="0.25">
      <c r="A106" s="51"/>
      <c r="B106" s="51"/>
      <c r="D106" s="51"/>
      <c r="E106" s="51"/>
      <c r="F106" s="52"/>
      <c r="H106" s="51"/>
      <c r="I106" s="51"/>
      <c r="J106" s="52"/>
      <c r="L106" s="51"/>
      <c r="M106" s="51"/>
      <c r="N106" s="52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</row>
    <row r="107" spans="1:28" x14ac:dyDescent="0.25">
      <c r="A107" s="51"/>
      <c r="B107" s="51"/>
      <c r="D107" s="51"/>
      <c r="E107" s="51"/>
      <c r="F107" s="52"/>
      <c r="H107" s="51"/>
      <c r="I107" s="51"/>
      <c r="J107" s="52"/>
      <c r="L107" s="51"/>
      <c r="M107" s="51"/>
      <c r="N107" s="52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</row>
    <row r="108" spans="1:28" x14ac:dyDescent="0.25">
      <c r="A108" s="51"/>
      <c r="B108" s="51"/>
      <c r="D108" s="51"/>
      <c r="E108" s="51"/>
      <c r="F108" s="52"/>
      <c r="H108" s="51"/>
      <c r="I108" s="51"/>
      <c r="J108" s="52"/>
      <c r="L108" s="51"/>
      <c r="M108" s="51"/>
      <c r="N108" s="52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</row>
    <row r="109" spans="1:28" x14ac:dyDescent="0.25">
      <c r="A109" s="51"/>
      <c r="B109" s="51"/>
      <c r="D109" s="51"/>
      <c r="E109" s="51"/>
      <c r="F109" s="52"/>
      <c r="H109" s="51"/>
      <c r="I109" s="51"/>
      <c r="J109" s="52"/>
      <c r="L109" s="51"/>
      <c r="M109" s="51"/>
      <c r="N109" s="52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</row>
    <row r="110" spans="1:28" x14ac:dyDescent="0.25">
      <c r="A110" s="51"/>
      <c r="B110" s="51"/>
      <c r="D110" s="51"/>
      <c r="E110" s="51"/>
      <c r="F110" s="52"/>
      <c r="H110" s="51"/>
      <c r="I110" s="51"/>
      <c r="J110" s="52"/>
      <c r="L110" s="51"/>
      <c r="M110" s="51"/>
      <c r="N110" s="52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</row>
    <row r="111" spans="1:28" x14ac:dyDescent="0.25">
      <c r="A111" s="51"/>
      <c r="B111" s="51"/>
      <c r="D111" s="51"/>
      <c r="E111" s="51"/>
      <c r="F111" s="52"/>
      <c r="H111" s="51"/>
      <c r="I111" s="51"/>
      <c r="J111" s="52"/>
      <c r="L111" s="51"/>
      <c r="M111" s="51"/>
      <c r="N111" s="52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5">
      <c r="A112" s="51"/>
      <c r="B112" s="51"/>
      <c r="D112" s="51"/>
      <c r="E112" s="51"/>
      <c r="F112" s="52"/>
      <c r="H112" s="51"/>
      <c r="I112" s="51"/>
      <c r="J112" s="52"/>
      <c r="L112" s="51"/>
      <c r="M112" s="51"/>
      <c r="N112" s="52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</row>
    <row r="113" spans="1:28" x14ac:dyDescent="0.25">
      <c r="A113" s="51"/>
      <c r="B113" s="51"/>
      <c r="D113" s="51"/>
      <c r="E113" s="51"/>
      <c r="F113" s="52"/>
      <c r="H113" s="51"/>
      <c r="I113" s="51"/>
      <c r="J113" s="52"/>
      <c r="L113" s="51"/>
      <c r="M113" s="51"/>
      <c r="N113" s="52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</row>
    <row r="114" spans="1:28" x14ac:dyDescent="0.25">
      <c r="A114" s="51"/>
      <c r="B114" s="51"/>
      <c r="D114" s="51"/>
      <c r="E114" s="51"/>
      <c r="F114" s="52"/>
      <c r="H114" s="51"/>
      <c r="I114" s="51"/>
      <c r="J114" s="52"/>
      <c r="L114" s="51"/>
      <c r="M114" s="51"/>
      <c r="N114" s="52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</row>
    <row r="115" spans="1:28" x14ac:dyDescent="0.25">
      <c r="A115" s="51"/>
      <c r="B115" s="51"/>
      <c r="D115" s="51"/>
      <c r="E115" s="51"/>
      <c r="F115" s="52"/>
      <c r="H115" s="51"/>
      <c r="I115" s="51"/>
      <c r="J115" s="52"/>
      <c r="L115" s="51"/>
      <c r="M115" s="51"/>
      <c r="N115" s="52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</row>
    <row r="116" spans="1:28" x14ac:dyDescent="0.25">
      <c r="A116" s="51"/>
      <c r="B116" s="51"/>
      <c r="D116" s="51"/>
      <c r="E116" s="51"/>
      <c r="F116" s="52"/>
      <c r="H116" s="51"/>
      <c r="I116" s="51"/>
      <c r="J116" s="52"/>
      <c r="L116" s="51"/>
      <c r="M116" s="51"/>
      <c r="N116" s="52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</row>
    <row r="117" spans="1:28" x14ac:dyDescent="0.25">
      <c r="A117" s="51"/>
      <c r="B117" s="51"/>
      <c r="D117" s="51"/>
      <c r="E117" s="51"/>
      <c r="F117" s="52"/>
      <c r="H117" s="51"/>
      <c r="I117" s="51"/>
      <c r="J117" s="52"/>
      <c r="L117" s="51"/>
      <c r="M117" s="51"/>
      <c r="N117" s="52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</row>
    <row r="118" spans="1:28" x14ac:dyDescent="0.25">
      <c r="A118" s="51"/>
      <c r="B118" s="51"/>
      <c r="D118" s="51"/>
      <c r="E118" s="51"/>
      <c r="F118" s="52"/>
      <c r="H118" s="51"/>
      <c r="I118" s="51"/>
      <c r="J118" s="52"/>
      <c r="L118" s="51"/>
      <c r="M118" s="51"/>
      <c r="N118" s="52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</row>
    <row r="119" spans="1:28" x14ac:dyDescent="0.25">
      <c r="A119" s="51"/>
      <c r="B119" s="51"/>
      <c r="D119" s="51"/>
      <c r="E119" s="51"/>
      <c r="F119" s="52"/>
      <c r="H119" s="51"/>
      <c r="I119" s="51"/>
      <c r="J119" s="52"/>
      <c r="L119" s="51"/>
      <c r="M119" s="51"/>
      <c r="N119" s="52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</row>
    <row r="120" spans="1:28" x14ac:dyDescent="0.25">
      <c r="A120" s="51"/>
      <c r="B120" s="51"/>
      <c r="D120" s="51"/>
      <c r="E120" s="51"/>
      <c r="F120" s="52"/>
      <c r="H120" s="51"/>
      <c r="I120" s="51"/>
      <c r="J120" s="52"/>
      <c r="L120" s="51"/>
      <c r="M120" s="51"/>
      <c r="N120" s="52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</row>
    <row r="121" spans="1:28" x14ac:dyDescent="0.25">
      <c r="A121" s="51"/>
      <c r="B121" s="51"/>
      <c r="D121" s="51"/>
      <c r="E121" s="51"/>
      <c r="F121" s="52"/>
      <c r="H121" s="51"/>
      <c r="I121" s="51"/>
      <c r="J121" s="52"/>
      <c r="L121" s="51"/>
      <c r="M121" s="51"/>
      <c r="N121" s="52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</row>
    <row r="122" spans="1:28" x14ac:dyDescent="0.25">
      <c r="A122" s="51"/>
      <c r="B122" s="51"/>
      <c r="D122" s="51"/>
      <c r="E122" s="51"/>
      <c r="F122" s="52"/>
      <c r="H122" s="51"/>
      <c r="I122" s="51"/>
      <c r="J122" s="52"/>
      <c r="L122" s="51"/>
      <c r="M122" s="51"/>
      <c r="N122" s="52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</row>
    <row r="123" spans="1:28" x14ac:dyDescent="0.25">
      <c r="A123" s="51"/>
      <c r="B123" s="51"/>
      <c r="D123" s="51"/>
      <c r="E123" s="51"/>
      <c r="F123" s="52"/>
      <c r="H123" s="51"/>
      <c r="I123" s="51"/>
      <c r="J123" s="52"/>
      <c r="L123" s="51"/>
      <c r="M123" s="51"/>
      <c r="N123" s="52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</row>
    <row r="124" spans="1:28" x14ac:dyDescent="0.25">
      <c r="A124" s="51"/>
      <c r="B124" s="51"/>
      <c r="D124" s="51"/>
      <c r="E124" s="51"/>
      <c r="F124" s="52"/>
      <c r="H124" s="51"/>
      <c r="I124" s="51"/>
      <c r="J124" s="52"/>
      <c r="L124" s="51"/>
      <c r="M124" s="51"/>
      <c r="N124" s="52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</row>
    <row r="125" spans="1:28" x14ac:dyDescent="0.25">
      <c r="A125" s="51"/>
      <c r="B125" s="51"/>
      <c r="D125" s="51"/>
      <c r="E125" s="51"/>
      <c r="F125" s="52"/>
      <c r="H125" s="51"/>
      <c r="I125" s="51"/>
      <c r="J125" s="52"/>
      <c r="L125" s="51"/>
      <c r="M125" s="51"/>
      <c r="N125" s="52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</row>
    <row r="126" spans="1:28" x14ac:dyDescent="0.25">
      <c r="A126" s="51"/>
      <c r="B126" s="51"/>
      <c r="D126" s="51"/>
      <c r="E126" s="51"/>
      <c r="F126" s="52"/>
      <c r="H126" s="51"/>
      <c r="I126" s="51"/>
      <c r="J126" s="52"/>
      <c r="L126" s="51"/>
      <c r="M126" s="51"/>
      <c r="N126" s="52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</row>
    <row r="127" spans="1:28" x14ac:dyDescent="0.25">
      <c r="A127" s="51"/>
      <c r="B127" s="51"/>
      <c r="D127" s="51"/>
      <c r="E127" s="51"/>
      <c r="F127" s="52"/>
      <c r="H127" s="51"/>
      <c r="I127" s="51"/>
      <c r="J127" s="52"/>
      <c r="L127" s="51"/>
      <c r="M127" s="51"/>
      <c r="N127" s="52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</row>
    <row r="128" spans="1:28" x14ac:dyDescent="0.25">
      <c r="A128" s="51"/>
      <c r="B128" s="51"/>
      <c r="D128" s="51"/>
      <c r="E128" s="51"/>
      <c r="F128" s="52"/>
      <c r="H128" s="51"/>
      <c r="I128" s="51"/>
      <c r="J128" s="52"/>
      <c r="L128" s="51"/>
      <c r="M128" s="51"/>
      <c r="N128" s="52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</row>
    <row r="129" spans="1:28" x14ac:dyDescent="0.25">
      <c r="A129" s="51"/>
      <c r="B129" s="51"/>
      <c r="D129" s="51"/>
      <c r="E129" s="51"/>
      <c r="F129" s="52"/>
      <c r="H129" s="51"/>
      <c r="I129" s="51"/>
      <c r="J129" s="52"/>
      <c r="L129" s="51"/>
      <c r="M129" s="51"/>
      <c r="N129" s="52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</row>
    <row r="130" spans="1:28" x14ac:dyDescent="0.25">
      <c r="A130" s="51"/>
      <c r="B130" s="51"/>
      <c r="D130" s="51"/>
      <c r="E130" s="51"/>
      <c r="F130" s="52"/>
      <c r="H130" s="51"/>
      <c r="I130" s="51"/>
      <c r="J130" s="52"/>
      <c r="L130" s="51"/>
      <c r="M130" s="51"/>
      <c r="N130" s="52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</row>
    <row r="131" spans="1:28" x14ac:dyDescent="0.25">
      <c r="A131" s="51"/>
      <c r="B131" s="51"/>
      <c r="D131" s="51"/>
      <c r="E131" s="51"/>
      <c r="F131" s="52"/>
      <c r="H131" s="51"/>
      <c r="I131" s="51"/>
      <c r="J131" s="52"/>
      <c r="L131" s="51"/>
      <c r="M131" s="51"/>
      <c r="N131" s="52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</row>
    <row r="132" spans="1:28" x14ac:dyDescent="0.25">
      <c r="A132" s="51"/>
      <c r="B132" s="51"/>
      <c r="D132" s="51"/>
      <c r="E132" s="51"/>
      <c r="F132" s="52"/>
      <c r="H132" s="51"/>
      <c r="I132" s="51"/>
      <c r="J132" s="52"/>
      <c r="L132" s="51"/>
      <c r="M132" s="51"/>
      <c r="N132" s="52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</row>
    <row r="133" spans="1:28" x14ac:dyDescent="0.25">
      <c r="A133" s="51"/>
      <c r="B133" s="51"/>
      <c r="D133" s="51"/>
      <c r="E133" s="51"/>
      <c r="F133" s="52"/>
      <c r="H133" s="51"/>
      <c r="I133" s="51"/>
      <c r="J133" s="52"/>
      <c r="L133" s="51"/>
      <c r="M133" s="51"/>
      <c r="N133" s="52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</row>
    <row r="134" spans="1:28" x14ac:dyDescent="0.25">
      <c r="A134" s="51"/>
      <c r="B134" s="51"/>
      <c r="D134" s="51"/>
      <c r="E134" s="51"/>
      <c r="F134" s="52"/>
      <c r="H134" s="51"/>
      <c r="I134" s="51"/>
      <c r="J134" s="52"/>
      <c r="L134" s="51"/>
      <c r="M134" s="51"/>
      <c r="N134" s="52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</row>
    <row r="135" spans="1:28" x14ac:dyDescent="0.25">
      <c r="A135" s="51"/>
      <c r="B135" s="51"/>
      <c r="D135" s="51"/>
      <c r="E135" s="51"/>
      <c r="F135" s="52"/>
      <c r="H135" s="51"/>
      <c r="I135" s="51"/>
      <c r="J135" s="52"/>
      <c r="L135" s="51"/>
      <c r="M135" s="51"/>
      <c r="N135" s="52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</row>
    <row r="136" spans="1:28" x14ac:dyDescent="0.25">
      <c r="A136" s="51"/>
      <c r="B136" s="51"/>
      <c r="D136" s="51"/>
      <c r="E136" s="51"/>
      <c r="F136" s="52"/>
      <c r="H136" s="51"/>
      <c r="I136" s="51"/>
      <c r="J136" s="52"/>
      <c r="L136" s="51"/>
      <c r="M136" s="51"/>
      <c r="N136" s="52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</row>
    <row r="137" spans="1:28" x14ac:dyDescent="0.25">
      <c r="A137" s="51"/>
      <c r="B137" s="51"/>
      <c r="D137" s="51"/>
      <c r="E137" s="51"/>
      <c r="F137" s="52"/>
      <c r="H137" s="51"/>
      <c r="I137" s="51"/>
      <c r="J137" s="52"/>
      <c r="L137" s="51"/>
      <c r="M137" s="51"/>
      <c r="N137" s="52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</row>
    <row r="138" spans="1:28" x14ac:dyDescent="0.25">
      <c r="A138" s="51"/>
      <c r="B138" s="51"/>
      <c r="D138" s="51"/>
      <c r="E138" s="51"/>
      <c r="F138" s="52"/>
      <c r="H138" s="51"/>
      <c r="I138" s="51"/>
      <c r="J138" s="52"/>
      <c r="L138" s="51"/>
      <c r="M138" s="51"/>
      <c r="N138" s="52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</row>
    <row r="139" spans="1:28" x14ac:dyDescent="0.25">
      <c r="A139" s="51"/>
      <c r="B139" s="51"/>
      <c r="D139" s="51"/>
      <c r="E139" s="51"/>
      <c r="F139" s="52"/>
      <c r="H139" s="51"/>
      <c r="I139" s="51"/>
      <c r="J139" s="52"/>
      <c r="L139" s="51"/>
      <c r="M139" s="51"/>
      <c r="N139" s="52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</row>
    <row r="140" spans="1:28" x14ac:dyDescent="0.25">
      <c r="A140" s="51"/>
      <c r="B140" s="51"/>
      <c r="D140" s="51"/>
      <c r="E140" s="51"/>
      <c r="F140" s="52"/>
      <c r="H140" s="51"/>
      <c r="I140" s="51"/>
      <c r="J140" s="52"/>
      <c r="L140" s="51"/>
      <c r="M140" s="51"/>
      <c r="N140" s="52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</row>
    <row r="141" spans="1:28" x14ac:dyDescent="0.25">
      <c r="A141" s="51"/>
      <c r="B141" s="51"/>
      <c r="D141" s="51"/>
      <c r="E141" s="51"/>
      <c r="F141" s="52"/>
      <c r="H141" s="51"/>
      <c r="I141" s="51"/>
      <c r="J141" s="52"/>
      <c r="L141" s="51"/>
      <c r="M141" s="51"/>
      <c r="N141" s="52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</row>
    <row r="142" spans="1:28" x14ac:dyDescent="0.25">
      <c r="A142" s="51"/>
      <c r="B142" s="51"/>
      <c r="D142" s="51"/>
      <c r="E142" s="51"/>
      <c r="F142" s="52"/>
      <c r="H142" s="51"/>
      <c r="I142" s="51"/>
      <c r="J142" s="52"/>
      <c r="L142" s="51"/>
      <c r="M142" s="51"/>
      <c r="N142" s="52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</row>
    <row r="143" spans="1:28" x14ac:dyDescent="0.25">
      <c r="A143" s="51"/>
      <c r="B143" s="51"/>
      <c r="D143" s="51"/>
      <c r="E143" s="51"/>
      <c r="F143" s="52"/>
      <c r="H143" s="51"/>
      <c r="I143" s="51"/>
      <c r="J143" s="52"/>
      <c r="L143" s="51"/>
      <c r="M143" s="51"/>
      <c r="N143" s="52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</row>
    <row r="144" spans="1:28" x14ac:dyDescent="0.25">
      <c r="A144" s="51"/>
      <c r="B144" s="51"/>
      <c r="D144" s="51"/>
      <c r="E144" s="51"/>
      <c r="F144" s="52"/>
      <c r="H144" s="51"/>
      <c r="I144" s="51"/>
      <c r="J144" s="52"/>
      <c r="L144" s="51"/>
      <c r="M144" s="51"/>
      <c r="N144" s="52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</row>
    <row r="145" spans="1:28" x14ac:dyDescent="0.25">
      <c r="A145" s="51"/>
      <c r="B145" s="51"/>
      <c r="D145" s="51"/>
      <c r="E145" s="51"/>
      <c r="F145" s="52"/>
      <c r="H145" s="51"/>
      <c r="I145" s="51"/>
      <c r="J145" s="52"/>
      <c r="L145" s="51"/>
      <c r="M145" s="51"/>
      <c r="N145" s="52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</row>
    <row r="146" spans="1:28" x14ac:dyDescent="0.25">
      <c r="A146" s="51"/>
      <c r="B146" s="51"/>
      <c r="D146" s="51"/>
      <c r="E146" s="51"/>
      <c r="F146" s="52"/>
      <c r="H146" s="51"/>
      <c r="I146" s="51"/>
      <c r="J146" s="52"/>
      <c r="L146" s="51"/>
      <c r="M146" s="51"/>
      <c r="N146" s="52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</row>
    <row r="147" spans="1:28" x14ac:dyDescent="0.25">
      <c r="A147" s="51"/>
      <c r="B147" s="51"/>
      <c r="D147" s="51"/>
      <c r="E147" s="51"/>
      <c r="F147" s="52"/>
      <c r="H147" s="51"/>
      <c r="I147" s="51"/>
      <c r="J147" s="52"/>
      <c r="L147" s="51"/>
      <c r="M147" s="51"/>
      <c r="N147" s="52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</row>
    <row r="148" spans="1:28" x14ac:dyDescent="0.25">
      <c r="A148" s="51"/>
      <c r="B148" s="51"/>
      <c r="D148" s="51"/>
      <c r="E148" s="51"/>
      <c r="F148" s="52"/>
      <c r="H148" s="51"/>
      <c r="I148" s="51"/>
      <c r="J148" s="52"/>
      <c r="L148" s="51"/>
      <c r="M148" s="51"/>
      <c r="N148" s="52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</row>
    <row r="149" spans="1:28" x14ac:dyDescent="0.25">
      <c r="A149" s="51"/>
      <c r="B149" s="51"/>
      <c r="D149" s="51"/>
      <c r="E149" s="51"/>
      <c r="F149" s="52"/>
      <c r="H149" s="51"/>
      <c r="I149" s="51"/>
      <c r="J149" s="52"/>
      <c r="L149" s="51"/>
      <c r="M149" s="51"/>
      <c r="N149" s="52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</row>
    <row r="150" spans="1:28" x14ac:dyDescent="0.25">
      <c r="A150" s="51"/>
      <c r="B150" s="51"/>
      <c r="D150" s="51"/>
      <c r="E150" s="51"/>
      <c r="F150" s="52"/>
      <c r="H150" s="51"/>
      <c r="I150" s="51"/>
      <c r="J150" s="52"/>
      <c r="L150" s="51"/>
      <c r="M150" s="51"/>
      <c r="N150" s="52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</row>
    <row r="151" spans="1:28" x14ac:dyDescent="0.25">
      <c r="A151" s="51"/>
      <c r="B151" s="51"/>
      <c r="D151" s="51"/>
      <c r="E151" s="51"/>
      <c r="F151" s="52"/>
      <c r="H151" s="51"/>
      <c r="I151" s="51"/>
      <c r="J151" s="52"/>
      <c r="L151" s="51"/>
      <c r="M151" s="51"/>
      <c r="N151" s="52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</row>
    <row r="152" spans="1:28" x14ac:dyDescent="0.25">
      <c r="A152" s="51"/>
      <c r="B152" s="51"/>
      <c r="D152" s="51"/>
      <c r="E152" s="51"/>
      <c r="F152" s="52"/>
      <c r="H152" s="51"/>
      <c r="I152" s="51"/>
      <c r="J152" s="52"/>
      <c r="L152" s="51"/>
      <c r="M152" s="51"/>
      <c r="N152" s="52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</row>
    <row r="153" spans="1:28" x14ac:dyDescent="0.25">
      <c r="A153" s="51"/>
      <c r="B153" s="51"/>
      <c r="D153" s="51"/>
      <c r="E153" s="51"/>
      <c r="F153" s="52"/>
      <c r="H153" s="51"/>
      <c r="I153" s="51"/>
      <c r="J153" s="52"/>
      <c r="L153" s="51"/>
      <c r="M153" s="51"/>
      <c r="N153" s="52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</row>
    <row r="154" spans="1:28" x14ac:dyDescent="0.25">
      <c r="A154" s="51"/>
      <c r="B154" s="51"/>
      <c r="D154" s="51"/>
      <c r="E154" s="51"/>
      <c r="F154" s="52"/>
      <c r="H154" s="51"/>
      <c r="I154" s="51"/>
      <c r="J154" s="52"/>
      <c r="L154" s="51"/>
      <c r="M154" s="51"/>
      <c r="N154" s="52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</row>
    <row r="155" spans="1:28" x14ac:dyDescent="0.25">
      <c r="A155" s="51"/>
      <c r="B155" s="51"/>
      <c r="D155" s="51"/>
      <c r="E155" s="51"/>
      <c r="F155" s="52"/>
      <c r="H155" s="51"/>
      <c r="I155" s="51"/>
      <c r="J155" s="52"/>
      <c r="L155" s="51"/>
      <c r="M155" s="51"/>
      <c r="N155" s="52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</row>
    <row r="156" spans="1:28" x14ac:dyDescent="0.25">
      <c r="A156" s="51"/>
      <c r="B156" s="51"/>
      <c r="D156" s="51"/>
      <c r="E156" s="51"/>
      <c r="F156" s="52"/>
      <c r="H156" s="51"/>
      <c r="I156" s="51"/>
      <c r="J156" s="52"/>
      <c r="L156" s="51"/>
      <c r="M156" s="51"/>
      <c r="N156" s="52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</row>
    <row r="157" spans="1:28" x14ac:dyDescent="0.25">
      <c r="A157" s="51"/>
      <c r="B157" s="51"/>
      <c r="D157" s="51"/>
      <c r="E157" s="51"/>
      <c r="F157" s="52"/>
      <c r="H157" s="51"/>
      <c r="I157" s="51"/>
      <c r="J157" s="52"/>
      <c r="L157" s="51"/>
      <c r="M157" s="51"/>
      <c r="N157" s="52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</row>
    <row r="158" spans="1:28" x14ac:dyDescent="0.25">
      <c r="A158" s="51"/>
      <c r="B158" s="51"/>
      <c r="D158" s="51"/>
      <c r="E158" s="51"/>
      <c r="F158" s="52"/>
      <c r="H158" s="51"/>
      <c r="I158" s="51"/>
      <c r="J158" s="52"/>
      <c r="L158" s="51"/>
      <c r="M158" s="51"/>
      <c r="N158" s="52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</row>
    <row r="159" spans="1:28" x14ac:dyDescent="0.25">
      <c r="A159" s="51"/>
      <c r="B159" s="51"/>
      <c r="D159" s="51"/>
      <c r="E159" s="51"/>
      <c r="F159" s="52"/>
      <c r="H159" s="51"/>
      <c r="I159" s="51"/>
      <c r="J159" s="52"/>
      <c r="L159" s="51"/>
      <c r="M159" s="51"/>
      <c r="N159" s="52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</row>
    <row r="160" spans="1:28" x14ac:dyDescent="0.25">
      <c r="A160" s="51"/>
      <c r="B160" s="51"/>
      <c r="D160" s="51"/>
      <c r="E160" s="51"/>
      <c r="F160" s="52"/>
      <c r="H160" s="51"/>
      <c r="I160" s="51"/>
      <c r="J160" s="52"/>
      <c r="L160" s="51"/>
      <c r="M160" s="51"/>
      <c r="N160" s="52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</row>
    <row r="161" spans="1:28" x14ac:dyDescent="0.25">
      <c r="A161" s="51"/>
      <c r="B161" s="51"/>
      <c r="D161" s="51"/>
      <c r="E161" s="51"/>
      <c r="F161" s="52"/>
      <c r="H161" s="51"/>
      <c r="I161" s="51"/>
      <c r="J161" s="52"/>
      <c r="L161" s="51"/>
      <c r="M161" s="51"/>
      <c r="N161" s="52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</row>
    <row r="162" spans="1:28" x14ac:dyDescent="0.25">
      <c r="A162" s="51"/>
      <c r="B162" s="51"/>
      <c r="D162" s="51"/>
      <c r="E162" s="51"/>
      <c r="F162" s="52"/>
      <c r="H162" s="51"/>
      <c r="I162" s="51"/>
      <c r="J162" s="52"/>
      <c r="L162" s="51"/>
      <c r="M162" s="51"/>
      <c r="N162" s="52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</row>
    <row r="163" spans="1:28" x14ac:dyDescent="0.25">
      <c r="A163" s="51"/>
      <c r="B163" s="51"/>
      <c r="D163" s="51"/>
      <c r="E163" s="51"/>
      <c r="F163" s="52"/>
      <c r="H163" s="51"/>
      <c r="I163" s="51"/>
      <c r="J163" s="52"/>
      <c r="L163" s="51"/>
      <c r="M163" s="51"/>
      <c r="N163" s="52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</row>
    <row r="164" spans="1:28" x14ac:dyDescent="0.25">
      <c r="A164" s="51"/>
      <c r="B164" s="51"/>
      <c r="D164" s="51"/>
      <c r="E164" s="51"/>
      <c r="F164" s="52"/>
      <c r="H164" s="51"/>
      <c r="I164" s="51"/>
      <c r="J164" s="52"/>
      <c r="L164" s="51"/>
      <c r="M164" s="51"/>
      <c r="N164" s="52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</row>
    <row r="165" spans="1:28" x14ac:dyDescent="0.25">
      <c r="A165" s="51"/>
      <c r="B165" s="51"/>
      <c r="D165" s="51"/>
      <c r="E165" s="51"/>
      <c r="F165" s="52"/>
      <c r="H165" s="51"/>
      <c r="I165" s="51"/>
      <c r="J165" s="52"/>
      <c r="L165" s="51"/>
      <c r="M165" s="51"/>
      <c r="N165" s="52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</row>
    <row r="166" spans="1:28" x14ac:dyDescent="0.25">
      <c r="A166" s="51"/>
      <c r="B166" s="51"/>
      <c r="D166" s="51"/>
      <c r="E166" s="51"/>
      <c r="F166" s="52"/>
      <c r="H166" s="51"/>
      <c r="I166" s="51"/>
      <c r="J166" s="52"/>
      <c r="L166" s="51"/>
      <c r="M166" s="51"/>
      <c r="N166" s="52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</row>
    <row r="167" spans="1:28" x14ac:dyDescent="0.25">
      <c r="A167" s="51"/>
      <c r="B167" s="51"/>
      <c r="D167" s="51"/>
      <c r="E167" s="51"/>
      <c r="F167" s="52"/>
      <c r="H167" s="51"/>
      <c r="I167" s="51"/>
      <c r="J167" s="52"/>
      <c r="L167" s="51"/>
      <c r="M167" s="51"/>
      <c r="N167" s="52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</row>
    <row r="168" spans="1:28" x14ac:dyDescent="0.25">
      <c r="A168" s="51"/>
      <c r="B168" s="51"/>
      <c r="D168" s="51"/>
      <c r="E168" s="51"/>
      <c r="F168" s="52"/>
      <c r="H168" s="51"/>
      <c r="I168" s="51"/>
      <c r="J168" s="52"/>
      <c r="L168" s="51"/>
      <c r="M168" s="51"/>
      <c r="N168" s="52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</row>
    <row r="169" spans="1:28" x14ac:dyDescent="0.25">
      <c r="A169" s="51"/>
      <c r="B169" s="51"/>
      <c r="D169" s="51"/>
      <c r="E169" s="51"/>
      <c r="F169" s="52"/>
      <c r="H169" s="51"/>
      <c r="I169" s="51"/>
      <c r="J169" s="52"/>
      <c r="L169" s="51"/>
      <c r="M169" s="51"/>
      <c r="N169" s="52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</row>
    <row r="170" spans="1:28" x14ac:dyDescent="0.25">
      <c r="A170" s="51"/>
      <c r="B170" s="51"/>
      <c r="D170" s="51"/>
      <c r="E170" s="51"/>
      <c r="F170" s="52"/>
      <c r="H170" s="51"/>
      <c r="I170" s="51"/>
      <c r="J170" s="52"/>
      <c r="L170" s="51"/>
      <c r="M170" s="51"/>
      <c r="N170" s="52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</row>
    <row r="171" spans="1:28" x14ac:dyDescent="0.25">
      <c r="A171" s="51"/>
      <c r="B171" s="51"/>
      <c r="D171" s="51"/>
      <c r="E171" s="51"/>
      <c r="F171" s="52"/>
      <c r="H171" s="51"/>
      <c r="I171" s="51"/>
      <c r="J171" s="52"/>
      <c r="L171" s="51"/>
      <c r="M171" s="51"/>
      <c r="N171" s="52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</row>
    <row r="172" spans="1:28" x14ac:dyDescent="0.25">
      <c r="A172" s="51"/>
      <c r="B172" s="51"/>
      <c r="D172" s="51"/>
      <c r="E172" s="51"/>
      <c r="F172" s="52"/>
      <c r="H172" s="51"/>
      <c r="I172" s="51"/>
      <c r="J172" s="52"/>
      <c r="L172" s="51"/>
      <c r="M172" s="51"/>
      <c r="N172" s="52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</row>
    <row r="173" spans="1:28" x14ac:dyDescent="0.25">
      <c r="A173" s="51"/>
      <c r="B173" s="51"/>
      <c r="D173" s="51"/>
      <c r="E173" s="51"/>
      <c r="F173" s="52"/>
      <c r="H173" s="51"/>
      <c r="I173" s="51"/>
      <c r="J173" s="52"/>
      <c r="L173" s="51"/>
      <c r="M173" s="51"/>
      <c r="N173" s="52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</row>
    <row r="174" spans="1:28" x14ac:dyDescent="0.25">
      <c r="A174" s="51"/>
      <c r="B174" s="51"/>
      <c r="D174" s="51"/>
      <c r="E174" s="51"/>
      <c r="F174" s="52"/>
      <c r="H174" s="51"/>
      <c r="I174" s="51"/>
      <c r="J174" s="52"/>
      <c r="L174" s="51"/>
      <c r="M174" s="51"/>
      <c r="N174" s="52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</row>
  </sheetData>
  <sheetProtection algorithmName="SHA-512" hashValue="lUZj3iVy+ti12Q2f/ocgRKOxTSxhkDv+oRT4+1fE0U2P55/lL3+x4WX5QUG4IhZnIkfxdFXDX3DozZfxMulzuw==" saltValue="wEkNdTNOhASWaUOWJtgkww==" spinCount="100000" sheet="1" objects="1" scenarios="1" selectLockedCells="1"/>
  <mergeCells count="189">
    <mergeCell ref="C95:Q95"/>
    <mergeCell ref="C94:Q94"/>
    <mergeCell ref="C91:J92"/>
    <mergeCell ref="B27:I28"/>
    <mergeCell ref="J27:J28"/>
    <mergeCell ref="K27:R28"/>
    <mergeCell ref="J86:K86"/>
    <mergeCell ref="J87:K87"/>
    <mergeCell ref="J88:K88"/>
    <mergeCell ref="J89:K89"/>
    <mergeCell ref="J81:K81"/>
    <mergeCell ref="J82:K82"/>
    <mergeCell ref="J83:K83"/>
    <mergeCell ref="J84:K84"/>
    <mergeCell ref="J85:K85"/>
    <mergeCell ref="J76:K76"/>
    <mergeCell ref="J77:K77"/>
    <mergeCell ref="J78:K78"/>
    <mergeCell ref="J56:K56"/>
    <mergeCell ref="J57:K57"/>
    <mergeCell ref="J58:K58"/>
    <mergeCell ref="J59:K59"/>
    <mergeCell ref="J60:K60"/>
    <mergeCell ref="J79:K79"/>
    <mergeCell ref="J80:K80"/>
    <mergeCell ref="J71:K71"/>
    <mergeCell ref="J72:K72"/>
    <mergeCell ref="J73:K73"/>
    <mergeCell ref="J74:K74"/>
    <mergeCell ref="J75:K75"/>
    <mergeCell ref="J66:K66"/>
    <mergeCell ref="J67:K67"/>
    <mergeCell ref="J68:K68"/>
    <mergeCell ref="J69:K69"/>
    <mergeCell ref="J70:K70"/>
    <mergeCell ref="J40:K40"/>
    <mergeCell ref="J41:K41"/>
    <mergeCell ref="J42:K42"/>
    <mergeCell ref="J43:K43"/>
    <mergeCell ref="J44:K44"/>
    <mergeCell ref="J45:K45"/>
    <mergeCell ref="F85:G85"/>
    <mergeCell ref="F86:G86"/>
    <mergeCell ref="F87:G87"/>
    <mergeCell ref="J51:K51"/>
    <mergeCell ref="J52:K52"/>
    <mergeCell ref="J53:K53"/>
    <mergeCell ref="J54:K54"/>
    <mergeCell ref="J55:K55"/>
    <mergeCell ref="J46:K46"/>
    <mergeCell ref="J47:K47"/>
    <mergeCell ref="J48:K48"/>
    <mergeCell ref="J49:K49"/>
    <mergeCell ref="J50:K50"/>
    <mergeCell ref="J61:K61"/>
    <mergeCell ref="J62:K62"/>
    <mergeCell ref="J63:K63"/>
    <mergeCell ref="J64:K64"/>
    <mergeCell ref="J65:K65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F88:G88"/>
    <mergeCell ref="F89:G89"/>
    <mergeCell ref="F80:G80"/>
    <mergeCell ref="F81:G81"/>
    <mergeCell ref="F82:G82"/>
    <mergeCell ref="F83:G83"/>
    <mergeCell ref="F84:G84"/>
    <mergeCell ref="F75:G75"/>
    <mergeCell ref="F76:G76"/>
    <mergeCell ref="F77:G77"/>
    <mergeCell ref="F78:G78"/>
    <mergeCell ref="F79:G79"/>
    <mergeCell ref="F70:G70"/>
    <mergeCell ref="F71:G71"/>
    <mergeCell ref="F72:G72"/>
    <mergeCell ref="F73:G73"/>
    <mergeCell ref="F74:G74"/>
    <mergeCell ref="F65:G65"/>
    <mergeCell ref="F66:G66"/>
    <mergeCell ref="F67:G67"/>
    <mergeCell ref="F68:G68"/>
    <mergeCell ref="F69:G69"/>
    <mergeCell ref="F60:G60"/>
    <mergeCell ref="F61:G61"/>
    <mergeCell ref="F62:G62"/>
    <mergeCell ref="F63:G63"/>
    <mergeCell ref="F64:G64"/>
    <mergeCell ref="F55:G55"/>
    <mergeCell ref="F56:G56"/>
    <mergeCell ref="F57:G57"/>
    <mergeCell ref="F58:G58"/>
    <mergeCell ref="F59:G59"/>
    <mergeCell ref="F50:G50"/>
    <mergeCell ref="F51:G51"/>
    <mergeCell ref="F52:G52"/>
    <mergeCell ref="F53:G53"/>
    <mergeCell ref="F54:G54"/>
    <mergeCell ref="F45:G45"/>
    <mergeCell ref="F46:G46"/>
    <mergeCell ref="F47:G47"/>
    <mergeCell ref="F48:G48"/>
    <mergeCell ref="F49:G49"/>
    <mergeCell ref="M87:Q87"/>
    <mergeCell ref="M88:Q88"/>
    <mergeCell ref="M89:Q89"/>
    <mergeCell ref="M81:Q81"/>
    <mergeCell ref="M82:Q82"/>
    <mergeCell ref="M83:Q83"/>
    <mergeCell ref="M84:Q84"/>
    <mergeCell ref="M85:Q85"/>
    <mergeCell ref="F40:G40"/>
    <mergeCell ref="F41:G41"/>
    <mergeCell ref="F42:G42"/>
    <mergeCell ref="F43:G43"/>
    <mergeCell ref="F44:G44"/>
    <mergeCell ref="M76:Q76"/>
    <mergeCell ref="M77:Q77"/>
    <mergeCell ref="M78:Q78"/>
    <mergeCell ref="M79:Q79"/>
    <mergeCell ref="M80:Q80"/>
    <mergeCell ref="M71:Q71"/>
    <mergeCell ref="M72:Q72"/>
    <mergeCell ref="M73:Q73"/>
    <mergeCell ref="M74:Q74"/>
    <mergeCell ref="M75:Q75"/>
    <mergeCell ref="M66:Q66"/>
    <mergeCell ref="M63:Q63"/>
    <mergeCell ref="M64:Q64"/>
    <mergeCell ref="M65:Q65"/>
    <mergeCell ref="M56:Q56"/>
    <mergeCell ref="M57:Q57"/>
    <mergeCell ref="M58:Q58"/>
    <mergeCell ref="M59:Q59"/>
    <mergeCell ref="M60:Q60"/>
    <mergeCell ref="M86:Q86"/>
    <mergeCell ref="M67:Q67"/>
    <mergeCell ref="M68:Q68"/>
    <mergeCell ref="M69:Q69"/>
    <mergeCell ref="M70:Q70"/>
    <mergeCell ref="M54:Q54"/>
    <mergeCell ref="M55:Q55"/>
    <mergeCell ref="M46:Q46"/>
    <mergeCell ref="M47:Q47"/>
    <mergeCell ref="M48:Q48"/>
    <mergeCell ref="M49:Q49"/>
    <mergeCell ref="M50:Q50"/>
    <mergeCell ref="M61:Q61"/>
    <mergeCell ref="M62:Q62"/>
    <mergeCell ref="M45:Q45"/>
    <mergeCell ref="M36:Q36"/>
    <mergeCell ref="M37:Q37"/>
    <mergeCell ref="M38:Q38"/>
    <mergeCell ref="M39:Q39"/>
    <mergeCell ref="M40:Q40"/>
    <mergeCell ref="M51:Q51"/>
    <mergeCell ref="M52:Q52"/>
    <mergeCell ref="M53:Q53"/>
    <mergeCell ref="T84:T89"/>
    <mergeCell ref="F36:G36"/>
    <mergeCell ref="F37:G37"/>
    <mergeCell ref="F38:G38"/>
    <mergeCell ref="F39:G39"/>
    <mergeCell ref="D6:E6"/>
    <mergeCell ref="M6:Q6"/>
    <mergeCell ref="B2:I3"/>
    <mergeCell ref="K2:R3"/>
    <mergeCell ref="J2:J3"/>
    <mergeCell ref="M31:Q31"/>
    <mergeCell ref="M32:Q32"/>
    <mergeCell ref="M33:Q33"/>
    <mergeCell ref="M34:Q34"/>
    <mergeCell ref="M35:Q35"/>
    <mergeCell ref="F32:G32"/>
    <mergeCell ref="F31:G31"/>
    <mergeCell ref="F33:G33"/>
    <mergeCell ref="F34:G34"/>
    <mergeCell ref="F35:G35"/>
    <mergeCell ref="M41:Q41"/>
    <mergeCell ref="M42:Q42"/>
    <mergeCell ref="M43:Q43"/>
    <mergeCell ref="M44:Q44"/>
  </mergeCells>
  <conditionalFormatting sqref="E9:E24 I9:I24 M9:M24 Q9:Q24">
    <cfRule type="cellIs" dxfId="31" priority="19" operator="equal">
      <formula>"Y"</formula>
    </cfRule>
    <cfRule type="cellIs" dxfId="30" priority="22" operator="equal">
      <formula>"N"</formula>
    </cfRule>
  </conditionalFormatting>
  <conditionalFormatting sqref="H4:H5 L4:L5 P4 P7:P25 D4:D25 L7:L25 H7:H25 P90:P93 L97:L1048576 H97:H1048576 D97:D1048576 P96:P1048576">
    <cfRule type="cellIs" dxfId="29" priority="21" operator="equal">
      <formula>"Unused"</formula>
    </cfRule>
  </conditionalFormatting>
  <conditionalFormatting sqref="H6 L6">
    <cfRule type="cellIs" dxfId="28" priority="20" operator="equal">
      <formula>"Unused"</formula>
    </cfRule>
  </conditionalFormatting>
  <conditionalFormatting sqref="H29:H30 L29 D29:D30">
    <cfRule type="cellIs" dxfId="27" priority="17" operator="equal">
      <formula>"Unused"</formula>
    </cfRule>
  </conditionalFormatting>
  <conditionalFormatting sqref="H31 I90:K90 F32:F84 I32:J89 M96 F96 I96:K96 F93 I93:K93 K91:K92 M32:M93 F90">
    <cfRule type="cellIs" dxfId="26" priority="13" operator="equal">
      <formula>"N"</formula>
    </cfRule>
    <cfRule type="cellIs" dxfId="25" priority="14" operator="equal">
      <formula>"Y"</formula>
    </cfRule>
  </conditionalFormatting>
  <conditionalFormatting sqref="L93">
    <cfRule type="cellIs" dxfId="24" priority="12" operator="equal">
      <formula>"Unused"</formula>
    </cfRule>
  </conditionalFormatting>
  <conditionalFormatting sqref="H32:H89">
    <cfRule type="cellIs" dxfId="23" priority="11" operator="equal">
      <formula>"Unused"</formula>
    </cfRule>
  </conditionalFormatting>
  <conditionalFormatting sqref="F85">
    <cfRule type="cellIs" dxfId="22" priority="9" operator="equal">
      <formula>"N"</formula>
    </cfRule>
    <cfRule type="cellIs" dxfId="21" priority="10" operator="equal">
      <formula>"Y"</formula>
    </cfRule>
  </conditionalFormatting>
  <conditionalFormatting sqref="F86">
    <cfRule type="cellIs" dxfId="20" priority="7" operator="equal">
      <formula>"N"</formula>
    </cfRule>
    <cfRule type="cellIs" dxfId="19" priority="8" operator="equal">
      <formula>"Y"</formula>
    </cfRule>
  </conditionalFormatting>
  <conditionalFormatting sqref="F87">
    <cfRule type="cellIs" dxfId="18" priority="5" operator="equal">
      <formula>"N"</formula>
    </cfRule>
    <cfRule type="cellIs" dxfId="17" priority="6" operator="equal">
      <formula>"Y"</formula>
    </cfRule>
  </conditionalFormatting>
  <conditionalFormatting sqref="F88">
    <cfRule type="cellIs" dxfId="16" priority="3" operator="equal">
      <formula>"N"</formula>
    </cfRule>
    <cfRule type="cellIs" dxfId="15" priority="4" operator="equal">
      <formula>"Y"</formula>
    </cfRule>
  </conditionalFormatting>
  <conditionalFormatting sqref="F89">
    <cfRule type="cellIs" dxfId="14" priority="1" operator="equal">
      <formula>"N"</formula>
    </cfRule>
    <cfRule type="cellIs" dxfId="13" priority="2" operator="equal">
      <formula>"Y"</formula>
    </cfRule>
  </conditionalFormatting>
  <dataValidations count="4">
    <dataValidation type="list" allowBlank="1" showInputMessage="1" showErrorMessage="1" sqref="E9:E24 M9:M24 I9:I24 Q9:Q18">
      <formula1>"Y,N"</formula1>
    </dataValidation>
    <dataValidation type="whole" allowBlank="1" showInputMessage="1" showErrorMessage="1" sqref="E5">
      <formula1>1</formula1>
      <formula2>505</formula2>
    </dataValidation>
    <dataValidation type="whole" allowBlank="1" showInputMessage="1" showErrorMessage="1" sqref="I32:K89">
      <formula1>0</formula1>
      <formula2>255</formula2>
    </dataValidation>
    <dataValidation type="whole" allowBlank="1" showInputMessage="1" showErrorMessage="1" sqref="F32:G89">
      <formula1>1</formula1>
      <formula2>4096</formula2>
    </dataValidation>
  </dataValidations>
  <pageMargins left="0.7" right="0.7" top="0.75" bottom="0.75" header="0.3" footer="0.3"/>
  <pageSetup paperSize="9" orientation="portrait" r:id="rId1"/>
  <ignoredErrors>
    <ignoredError sqref="M6 L32:Q89 L92 C95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AD77"/>
  <sheetViews>
    <sheetView workbookViewId="0">
      <selection activeCell="E9" sqref="E9"/>
    </sheetView>
  </sheetViews>
  <sheetFormatPr defaultRowHeight="15" x14ac:dyDescent="0.25"/>
  <cols>
    <col min="1" max="2" width="4.140625" customWidth="1"/>
    <col min="3" max="3" width="4.140625" style="6" customWidth="1"/>
    <col min="4" max="4" width="18.7109375" customWidth="1"/>
    <col min="6" max="6" width="4.140625" style="7" customWidth="1"/>
    <col min="7" max="7" width="4.140625" style="6" customWidth="1"/>
    <col min="8" max="10" width="6.28515625" customWidth="1"/>
    <col min="12" max="12" width="4.140625" style="7" customWidth="1"/>
    <col min="13" max="13" width="4.140625" style="6" customWidth="1"/>
    <col min="14" max="14" width="18.7109375" customWidth="1"/>
    <col min="16" max="16" width="4.140625" style="7" customWidth="1"/>
    <col min="17" max="17" width="4.140625" style="6" customWidth="1"/>
    <col min="18" max="18" width="18.7109375" customWidth="1"/>
    <col min="20" max="21" width="4.140625" customWidth="1"/>
  </cols>
  <sheetData>
    <row r="1" spans="2:20" ht="15.75" thickBot="1" x14ac:dyDescent="0.3"/>
    <row r="2" spans="2:20" ht="15" customHeight="1" x14ac:dyDescent="0.25">
      <c r="B2" s="155" t="s">
        <v>985</v>
      </c>
      <c r="C2" s="156"/>
      <c r="D2" s="156"/>
      <c r="E2" s="156"/>
      <c r="F2" s="156"/>
      <c r="G2" s="156"/>
      <c r="H2" s="156"/>
      <c r="I2" s="156"/>
      <c r="J2" s="156"/>
      <c r="K2" s="156"/>
      <c r="L2" s="159" t="s">
        <v>570</v>
      </c>
      <c r="M2" s="161" t="s">
        <v>1000</v>
      </c>
      <c r="N2" s="161"/>
      <c r="O2" s="161"/>
      <c r="P2" s="161"/>
      <c r="Q2" s="161"/>
      <c r="R2" s="161"/>
      <c r="S2" s="161"/>
      <c r="T2" s="162"/>
    </row>
    <row r="3" spans="2:20" ht="15.75" customHeight="1" thickBot="1" x14ac:dyDescent="0.3">
      <c r="B3" s="157"/>
      <c r="C3" s="158"/>
      <c r="D3" s="158"/>
      <c r="E3" s="158"/>
      <c r="F3" s="158"/>
      <c r="G3" s="158"/>
      <c r="H3" s="158"/>
      <c r="I3" s="158"/>
      <c r="J3" s="158"/>
      <c r="K3" s="158"/>
      <c r="L3" s="160"/>
      <c r="M3" s="163"/>
      <c r="N3" s="163"/>
      <c r="O3" s="163"/>
      <c r="P3" s="163"/>
      <c r="Q3" s="163"/>
      <c r="R3" s="163"/>
      <c r="S3" s="163"/>
      <c r="T3" s="164"/>
    </row>
    <row r="4" spans="2:20" ht="15.75" thickBot="1" x14ac:dyDescent="0.3">
      <c r="B4" s="28"/>
      <c r="C4" s="23"/>
      <c r="D4" s="18"/>
      <c r="E4" s="18"/>
      <c r="F4" s="18"/>
      <c r="G4" s="23"/>
      <c r="H4" s="18"/>
      <c r="I4" s="18"/>
      <c r="J4" s="18"/>
      <c r="K4" s="18"/>
      <c r="L4" s="18"/>
      <c r="M4" s="23"/>
      <c r="N4" s="18"/>
      <c r="O4" s="18"/>
      <c r="P4" s="18"/>
      <c r="Q4" s="23"/>
      <c r="R4" s="18"/>
      <c r="S4" s="18"/>
      <c r="T4" s="29"/>
    </row>
    <row r="5" spans="2:20" ht="15.75" thickBot="1" x14ac:dyDescent="0.3">
      <c r="B5" s="28"/>
      <c r="C5" s="23"/>
      <c r="D5" s="14" t="s">
        <v>63</v>
      </c>
      <c r="E5" s="109">
        <v>1</v>
      </c>
      <c r="F5" s="18"/>
      <c r="G5" s="23"/>
      <c r="H5" s="49"/>
      <c r="I5" s="49"/>
      <c r="J5" s="49"/>
      <c r="K5" s="49" t="s">
        <v>986</v>
      </c>
      <c r="L5" s="18"/>
      <c r="M5" s="23"/>
      <c r="N5" s="19"/>
      <c r="O5" s="20"/>
      <c r="P5" s="20"/>
      <c r="Q5" s="20"/>
      <c r="R5" s="20"/>
      <c r="S5" s="20"/>
      <c r="T5" s="29"/>
    </row>
    <row r="6" spans="2:20" ht="15.75" thickBot="1" x14ac:dyDescent="0.3">
      <c r="B6" s="28"/>
      <c r="C6" s="23"/>
      <c r="D6" s="125" t="str">
        <f>VLOOKUP(E5,Lookups!A:B,2,0)</f>
        <v>Bulbasaur</v>
      </c>
      <c r="E6" s="126"/>
      <c r="F6" s="18"/>
      <c r="G6" s="23"/>
      <c r="H6" s="177" t="s">
        <v>62</v>
      </c>
      <c r="I6" s="178"/>
      <c r="J6" s="179"/>
      <c r="K6" s="112" t="str">
        <f>(DEC2HEX(((E5-1)*5)+196908))</f>
        <v>3012C</v>
      </c>
      <c r="L6" s="18"/>
      <c r="M6" s="23"/>
      <c r="N6" s="14" t="s">
        <v>61</v>
      </c>
      <c r="O6" s="127" t="str">
        <f>IF(LEN(BIN2HEX(SUBSTITUTE(SUBSTITUTE(E16&amp;E15&amp;E14&amp;E13&amp;E12&amp;E11&amp;E10&amp;E9,"N",0),"Y",1)))=1,"0"&amp;BIN2HEX(SUBSTITUTE(SUBSTITUTE(E16&amp;E15&amp;E14&amp;E13&amp;E12&amp;E11&amp;E10&amp;E9,"N",0),"Y",1)),BIN2HEX(SUBSTITUTE(SUBSTITUTE(E16&amp;E15&amp;E14&amp;E13&amp;E12&amp;E11&amp;E10&amp;E9,"N",0),"Y",1)))&amp;" "&amp;IF(LEN(BIN2HEX(SUBSTITUTE(SUBSTITUTE(E24&amp;E23&amp;E22&amp;E21&amp;E20&amp;E19&amp;E18&amp;E17,"N",0),"Y",1)))=1,"0"&amp;BIN2HEX(SUBSTITUTE(SUBSTITUTE(E24&amp;E23&amp;E22&amp;E21&amp;E20&amp;E19&amp;E18&amp;E17,"N",0),"Y",1)),BIN2HEX(SUBSTITUTE(SUBSTITUTE(E24&amp;E23&amp;E22&amp;E21&amp;E20&amp;E19&amp;E18&amp;E17,"N",0),"Y",1)))&amp;" "&amp;IF(LEN(BIN2HEX(SUBSTITUTE(SUBSTITUTE(K16&amp;K15&amp;K14&amp;K13&amp;K12&amp;K11&amp;K10&amp;K9,"N",0),"Y",1)))=1,"0"&amp;BIN2HEX(SUBSTITUTE(SUBSTITUTE(K16&amp;K15&amp;K14&amp;K13&amp;K12&amp;K11&amp;K10&amp;K9,"N",0),"Y",1)),BIN2HEX(SUBSTITUTE(SUBSTITUTE(K16&amp;K15&amp;K14&amp;K13&amp;K12&amp;K11&amp;K10&amp;K9,"N",0),"Y",1)))&amp;" "&amp;IF(LEN(BIN2HEX(SUBSTITUTE(SUBSTITUTE(K24&amp;K23&amp;K22&amp;K21&amp;K20&amp;K19&amp;K18&amp;K17,"N",0),"Y",1)))=1,"0"&amp;BIN2HEX(SUBSTITUTE(SUBSTITUTE(K24&amp;K23&amp;K22&amp;K21&amp;K20&amp;K19&amp;K18&amp;K17,"N",0),"Y",1)),BIN2HEX(SUBSTITUTE(SUBSTITUTE(K24&amp;K23&amp;K22&amp;K21&amp;K20&amp;K19&amp;K18&amp;K17,"N",0),"Y",1)))&amp;" "&amp;IF(LEN(BIN2HEX(SUBSTITUTE(SUBSTITUTE(O16&amp;O15&amp;O14&amp;O13&amp;O12&amp;O11&amp;O10&amp;O9,"N",0),"Y",1)))=1,"0"&amp;BIN2HEX(SUBSTITUTE(SUBSTITUTE(O16&amp;O15&amp;O14&amp;O13&amp;O12&amp;O11&amp;O10&amp;O9,"N",0),"Y",1)),BIN2HEX(SUBSTITUTE(SUBSTITUTE(O16&amp;O15&amp;O14&amp;O13&amp;O12&amp;O11&amp;O10&amp;O9,"N",0),"Y",1)))</f>
        <v>00 00 00 00 00</v>
      </c>
      <c r="P6" s="127"/>
      <c r="Q6" s="127"/>
      <c r="R6" s="127"/>
      <c r="S6" s="128"/>
      <c r="T6" s="29"/>
    </row>
    <row r="7" spans="2:20" ht="15.75" thickBot="1" x14ac:dyDescent="0.3">
      <c r="B7" s="28"/>
      <c r="C7" s="23"/>
      <c r="D7" s="18"/>
      <c r="E7" s="18"/>
      <c r="F7" s="18"/>
      <c r="G7" s="23"/>
      <c r="H7" s="18"/>
      <c r="I7" s="18"/>
      <c r="J7" s="18"/>
      <c r="K7" s="18"/>
      <c r="L7" s="18"/>
      <c r="M7" s="23"/>
      <c r="N7" s="18"/>
      <c r="O7" s="18"/>
      <c r="P7" s="18"/>
      <c r="Q7" s="23"/>
      <c r="R7" s="18"/>
      <c r="S7" s="18"/>
      <c r="T7" s="29"/>
    </row>
    <row r="8" spans="2:20" ht="15.75" thickBot="1" x14ac:dyDescent="0.3">
      <c r="B8" s="30"/>
      <c r="C8" s="84" t="s">
        <v>58</v>
      </c>
      <c r="D8" s="85" t="s">
        <v>3</v>
      </c>
      <c r="E8" s="86" t="s">
        <v>59</v>
      </c>
      <c r="F8" s="31"/>
      <c r="G8" s="87" t="s">
        <v>58</v>
      </c>
      <c r="H8" s="183" t="s">
        <v>3</v>
      </c>
      <c r="I8" s="184"/>
      <c r="J8" s="185"/>
      <c r="K8" s="88" t="s">
        <v>59</v>
      </c>
      <c r="L8" s="31"/>
      <c r="M8" s="84" t="s">
        <v>58</v>
      </c>
      <c r="N8" s="85" t="s">
        <v>3</v>
      </c>
      <c r="O8" s="86" t="s">
        <v>59</v>
      </c>
      <c r="P8" s="31"/>
      <c r="Q8" s="21"/>
      <c r="R8" s="22"/>
      <c r="S8" s="22"/>
      <c r="T8" s="32"/>
    </row>
    <row r="9" spans="2:20" x14ac:dyDescent="0.25">
      <c r="B9" s="28"/>
      <c r="C9" s="15">
        <v>1</v>
      </c>
      <c r="D9" s="11" t="str">
        <f>VLOOKUP(C9,$C$31:$G$69,3,0)</f>
        <v>Dive</v>
      </c>
      <c r="E9" s="105" t="s">
        <v>60</v>
      </c>
      <c r="F9" s="18"/>
      <c r="G9" s="8">
        <v>17</v>
      </c>
      <c r="H9" s="186" t="str">
        <f>VLOOKUP(G9,$C$31:$G$69,3,0)</f>
        <v>Helping Hand</v>
      </c>
      <c r="I9" s="187"/>
      <c r="J9" s="188"/>
      <c r="K9" s="102" t="s">
        <v>60</v>
      </c>
      <c r="L9" s="18"/>
      <c r="M9" s="15">
        <v>33</v>
      </c>
      <c r="N9" s="11" t="str">
        <f>VLOOKUP(M9,$C$31:$G$69,3,0)</f>
        <v>Trick</v>
      </c>
      <c r="O9" s="105" t="s">
        <v>60</v>
      </c>
      <c r="P9" s="18"/>
      <c r="Q9" s="23"/>
      <c r="R9" s="24"/>
      <c r="S9" s="24"/>
      <c r="T9" s="29"/>
    </row>
    <row r="10" spans="2:20" x14ac:dyDescent="0.25">
      <c r="B10" s="28"/>
      <c r="C10" s="16">
        <v>2</v>
      </c>
      <c r="D10" s="11" t="str">
        <f t="shared" ref="D10:D24" si="0">VLOOKUP(C10,$C$31:$G$69,3,0)</f>
        <v>Mud-Slap</v>
      </c>
      <c r="E10" s="106" t="s">
        <v>60</v>
      </c>
      <c r="F10" s="18"/>
      <c r="G10" s="9">
        <v>18</v>
      </c>
      <c r="H10" s="165" t="str">
        <f t="shared" ref="H10:H24" si="1">VLOOKUP(G10,$C$31:$G$69,3,0)</f>
        <v>Endeavor</v>
      </c>
      <c r="I10" s="166"/>
      <c r="J10" s="167"/>
      <c r="K10" s="103" t="s">
        <v>60</v>
      </c>
      <c r="L10" s="18"/>
      <c r="M10" s="16">
        <v>34</v>
      </c>
      <c r="N10" s="12" t="str">
        <f t="shared" ref="N10:N14" si="2">VLOOKUP(M10,$C$31:$G$69,3,0)</f>
        <v>Heat Wave</v>
      </c>
      <c r="O10" s="106" t="s">
        <v>60</v>
      </c>
      <c r="P10" s="18"/>
      <c r="Q10" s="23"/>
      <c r="R10" s="24"/>
      <c r="S10" s="24"/>
      <c r="T10" s="29"/>
    </row>
    <row r="11" spans="2:20" x14ac:dyDescent="0.25">
      <c r="B11" s="28"/>
      <c r="C11" s="16">
        <v>3</v>
      </c>
      <c r="D11" s="11" t="str">
        <f t="shared" si="0"/>
        <v>Fury Cutter</v>
      </c>
      <c r="E11" s="106" t="s">
        <v>60</v>
      </c>
      <c r="F11" s="18"/>
      <c r="G11" s="9">
        <v>19</v>
      </c>
      <c r="H11" s="165" t="str">
        <f t="shared" si="1"/>
        <v>Outrage</v>
      </c>
      <c r="I11" s="166"/>
      <c r="J11" s="167"/>
      <c r="K11" s="103" t="s">
        <v>60</v>
      </c>
      <c r="L11" s="18"/>
      <c r="M11" s="16">
        <v>35</v>
      </c>
      <c r="N11" s="12" t="str">
        <f t="shared" si="2"/>
        <v>Knock Off</v>
      </c>
      <c r="O11" s="106" t="s">
        <v>60</v>
      </c>
      <c r="P11" s="18"/>
      <c r="Q11" s="23"/>
      <c r="R11" s="24"/>
      <c r="S11" s="24"/>
      <c r="T11" s="29"/>
    </row>
    <row r="12" spans="2:20" x14ac:dyDescent="0.25">
      <c r="B12" s="28"/>
      <c r="C12" s="16">
        <v>4</v>
      </c>
      <c r="D12" s="11" t="str">
        <f t="shared" si="0"/>
        <v>Icy Wind</v>
      </c>
      <c r="E12" s="106" t="s">
        <v>60</v>
      </c>
      <c r="F12" s="18"/>
      <c r="G12" s="9">
        <v>20</v>
      </c>
      <c r="H12" s="165" t="str">
        <f t="shared" si="1"/>
        <v>AncientPower</v>
      </c>
      <c r="I12" s="166"/>
      <c r="J12" s="167"/>
      <c r="K12" s="103" t="s">
        <v>60</v>
      </c>
      <c r="L12" s="18"/>
      <c r="M12" s="16">
        <v>36</v>
      </c>
      <c r="N12" s="12" t="str">
        <f t="shared" si="2"/>
        <v>Sucker Punch</v>
      </c>
      <c r="O12" s="106" t="s">
        <v>60</v>
      </c>
      <c r="P12" s="18"/>
      <c r="Q12" s="23"/>
      <c r="R12" s="24"/>
      <c r="S12" s="24"/>
      <c r="T12" s="29"/>
    </row>
    <row r="13" spans="2:20" x14ac:dyDescent="0.25">
      <c r="B13" s="28"/>
      <c r="C13" s="16">
        <v>5</v>
      </c>
      <c r="D13" s="11" t="str">
        <f t="shared" si="0"/>
        <v>Rollout</v>
      </c>
      <c r="E13" s="106" t="s">
        <v>60</v>
      </c>
      <c r="F13" s="18"/>
      <c r="G13" s="9">
        <v>21</v>
      </c>
      <c r="H13" s="165" t="str">
        <f t="shared" si="1"/>
        <v>Synthesis</v>
      </c>
      <c r="I13" s="166"/>
      <c r="J13" s="167"/>
      <c r="K13" s="103" t="s">
        <v>60</v>
      </c>
      <c r="L13" s="18"/>
      <c r="M13" s="16">
        <v>37</v>
      </c>
      <c r="N13" s="12" t="str">
        <f t="shared" si="2"/>
        <v>Swift</v>
      </c>
      <c r="O13" s="106" t="s">
        <v>60</v>
      </c>
      <c r="P13" s="18"/>
      <c r="Q13" s="23"/>
      <c r="R13" s="24"/>
      <c r="S13" s="24"/>
      <c r="T13" s="29"/>
    </row>
    <row r="14" spans="2:20" ht="15.75" thickBot="1" x14ac:dyDescent="0.3">
      <c r="B14" s="28"/>
      <c r="C14" s="16">
        <v>6</v>
      </c>
      <c r="D14" s="11" t="str">
        <f t="shared" si="0"/>
        <v>ThunderPunch</v>
      </c>
      <c r="E14" s="106" t="s">
        <v>60</v>
      </c>
      <c r="F14" s="18"/>
      <c r="G14" s="9">
        <v>22</v>
      </c>
      <c r="H14" s="165" t="str">
        <f t="shared" si="1"/>
        <v>Signal Beam</v>
      </c>
      <c r="I14" s="166"/>
      <c r="J14" s="167"/>
      <c r="K14" s="103" t="s">
        <v>60</v>
      </c>
      <c r="L14" s="18"/>
      <c r="M14" s="17">
        <v>38</v>
      </c>
      <c r="N14" s="95" t="str">
        <f t="shared" si="2"/>
        <v>Uproar</v>
      </c>
      <c r="O14" s="107" t="s">
        <v>60</v>
      </c>
      <c r="P14" s="18"/>
      <c r="Q14" s="23"/>
      <c r="R14" s="24"/>
      <c r="S14" s="24"/>
      <c r="T14" s="29"/>
    </row>
    <row r="15" spans="2:20" x14ac:dyDescent="0.25">
      <c r="B15" s="28"/>
      <c r="C15" s="16">
        <v>7</v>
      </c>
      <c r="D15" s="11" t="str">
        <f t="shared" si="0"/>
        <v>Fire Punch</v>
      </c>
      <c r="E15" s="106" t="s">
        <v>60</v>
      </c>
      <c r="F15" s="18"/>
      <c r="G15" s="9">
        <v>23</v>
      </c>
      <c r="H15" s="165" t="str">
        <f t="shared" si="1"/>
        <v>Zen Headbutt</v>
      </c>
      <c r="I15" s="166"/>
      <c r="J15" s="167"/>
      <c r="K15" s="103" t="s">
        <v>60</v>
      </c>
      <c r="L15" s="18"/>
      <c r="M15" s="23"/>
      <c r="N15" s="24"/>
      <c r="O15" s="24"/>
      <c r="P15" s="18"/>
      <c r="Q15" s="23"/>
      <c r="R15" s="24"/>
      <c r="S15" s="24"/>
      <c r="T15" s="29"/>
    </row>
    <row r="16" spans="2:20" x14ac:dyDescent="0.25">
      <c r="B16" s="28"/>
      <c r="C16" s="16">
        <v>8</v>
      </c>
      <c r="D16" s="11" t="str">
        <f t="shared" si="0"/>
        <v>Superpower</v>
      </c>
      <c r="E16" s="106" t="s">
        <v>60</v>
      </c>
      <c r="F16" s="18"/>
      <c r="G16" s="9">
        <v>24</v>
      </c>
      <c r="H16" s="165" t="str">
        <f t="shared" si="1"/>
        <v>Vacuum Wave</v>
      </c>
      <c r="I16" s="166"/>
      <c r="J16" s="167"/>
      <c r="K16" s="103" t="s">
        <v>60</v>
      </c>
      <c r="L16" s="18"/>
      <c r="M16" s="23"/>
      <c r="N16" s="24"/>
      <c r="O16" s="24"/>
      <c r="P16" s="18"/>
      <c r="Q16" s="23"/>
      <c r="R16" s="24"/>
      <c r="S16" s="24"/>
      <c r="T16" s="29"/>
    </row>
    <row r="17" spans="1:30" x14ac:dyDescent="0.25">
      <c r="B17" s="28"/>
      <c r="C17" s="16">
        <v>9</v>
      </c>
      <c r="D17" s="11" t="str">
        <f t="shared" si="0"/>
        <v>Ice Punch</v>
      </c>
      <c r="E17" s="106" t="s">
        <v>60</v>
      </c>
      <c r="F17" s="18"/>
      <c r="G17" s="9">
        <v>25</v>
      </c>
      <c r="H17" s="165" t="str">
        <f t="shared" si="1"/>
        <v>Earth Power</v>
      </c>
      <c r="I17" s="166"/>
      <c r="J17" s="167"/>
      <c r="K17" s="103" t="s">
        <v>60</v>
      </c>
      <c r="L17" s="18"/>
      <c r="M17" s="23"/>
      <c r="N17" s="24"/>
      <c r="O17" s="24"/>
      <c r="P17" s="18"/>
      <c r="Q17" s="23"/>
      <c r="R17" s="24"/>
      <c r="S17" s="24"/>
      <c r="T17" s="29"/>
    </row>
    <row r="18" spans="1:30" x14ac:dyDescent="0.25">
      <c r="B18" s="28"/>
      <c r="C18" s="16">
        <v>10</v>
      </c>
      <c r="D18" s="11" t="str">
        <f t="shared" si="0"/>
        <v>Iron Head</v>
      </c>
      <c r="E18" s="106" t="s">
        <v>60</v>
      </c>
      <c r="F18" s="18"/>
      <c r="G18" s="9">
        <v>26</v>
      </c>
      <c r="H18" s="165" t="str">
        <f t="shared" si="1"/>
        <v>Gunk Shot</v>
      </c>
      <c r="I18" s="166"/>
      <c r="J18" s="167"/>
      <c r="K18" s="103" t="s">
        <v>60</v>
      </c>
      <c r="L18" s="18"/>
      <c r="M18" s="23"/>
      <c r="N18" s="24"/>
      <c r="O18" s="24"/>
      <c r="P18" s="18"/>
      <c r="Q18" s="23"/>
      <c r="R18" s="24"/>
      <c r="S18" s="24"/>
      <c r="T18" s="29"/>
    </row>
    <row r="19" spans="1:30" x14ac:dyDescent="0.25">
      <c r="B19" s="28"/>
      <c r="C19" s="16">
        <v>11</v>
      </c>
      <c r="D19" s="11" t="str">
        <f t="shared" si="0"/>
        <v>Aqua Tail</v>
      </c>
      <c r="E19" s="106" t="s">
        <v>60</v>
      </c>
      <c r="F19" s="18"/>
      <c r="G19" s="9">
        <v>27</v>
      </c>
      <c r="H19" s="165" t="str">
        <f t="shared" si="1"/>
        <v>Twister</v>
      </c>
      <c r="I19" s="166"/>
      <c r="J19" s="167"/>
      <c r="K19" s="103" t="s">
        <v>60</v>
      </c>
      <c r="L19" s="18"/>
      <c r="M19" s="23"/>
      <c r="N19" s="24"/>
      <c r="O19" s="24"/>
      <c r="P19" s="18"/>
      <c r="Q19" s="23"/>
      <c r="R19" s="24"/>
      <c r="S19" s="24"/>
      <c r="T19" s="29"/>
    </row>
    <row r="20" spans="1:30" x14ac:dyDescent="0.25">
      <c r="B20" s="28"/>
      <c r="C20" s="16">
        <v>12</v>
      </c>
      <c r="D20" s="11" t="str">
        <f t="shared" si="0"/>
        <v>Ominous Wind</v>
      </c>
      <c r="E20" s="106" t="s">
        <v>60</v>
      </c>
      <c r="F20" s="18"/>
      <c r="G20" s="9">
        <v>28</v>
      </c>
      <c r="H20" s="165" t="str">
        <f t="shared" si="1"/>
        <v>Seed Bomb</v>
      </c>
      <c r="I20" s="166"/>
      <c r="J20" s="167"/>
      <c r="K20" s="103" t="s">
        <v>60</v>
      </c>
      <c r="L20" s="18"/>
      <c r="M20" s="23"/>
      <c r="N20" s="24"/>
      <c r="O20" s="24"/>
      <c r="P20" s="18"/>
      <c r="Q20" s="23"/>
      <c r="R20" s="24"/>
      <c r="S20" s="24"/>
      <c r="T20" s="29"/>
    </row>
    <row r="21" spans="1:30" x14ac:dyDescent="0.25">
      <c r="B21" s="28"/>
      <c r="C21" s="16">
        <v>13</v>
      </c>
      <c r="D21" s="11" t="str">
        <f t="shared" si="0"/>
        <v>Gastro Acid</v>
      </c>
      <c r="E21" s="106" t="s">
        <v>60</v>
      </c>
      <c r="F21" s="18"/>
      <c r="G21" s="9">
        <v>29</v>
      </c>
      <c r="H21" s="165" t="str">
        <f t="shared" si="1"/>
        <v>Iron Defense</v>
      </c>
      <c r="I21" s="166"/>
      <c r="J21" s="167"/>
      <c r="K21" s="103" t="s">
        <v>60</v>
      </c>
      <c r="L21" s="18"/>
      <c r="M21" s="23"/>
      <c r="N21" s="24"/>
      <c r="O21" s="24"/>
      <c r="P21" s="18"/>
      <c r="Q21" s="23"/>
      <c r="R21" s="24"/>
      <c r="S21" s="24"/>
      <c r="T21" s="29"/>
    </row>
    <row r="22" spans="1:30" x14ac:dyDescent="0.25">
      <c r="B22" s="28"/>
      <c r="C22" s="16">
        <v>14</v>
      </c>
      <c r="D22" s="11" t="str">
        <f t="shared" si="0"/>
        <v>Snore</v>
      </c>
      <c r="E22" s="106" t="s">
        <v>60</v>
      </c>
      <c r="F22" s="18"/>
      <c r="G22" s="9">
        <v>30</v>
      </c>
      <c r="H22" s="165" t="str">
        <f t="shared" si="1"/>
        <v>Magnet Rise</v>
      </c>
      <c r="I22" s="166"/>
      <c r="J22" s="167"/>
      <c r="K22" s="103" t="s">
        <v>60</v>
      </c>
      <c r="L22" s="18"/>
      <c r="M22" s="23"/>
      <c r="N22" s="24"/>
      <c r="O22" s="24"/>
      <c r="P22" s="18"/>
      <c r="Q22" s="23"/>
      <c r="R22" s="24"/>
      <c r="S22" s="24"/>
      <c r="T22" s="29"/>
    </row>
    <row r="23" spans="1:30" x14ac:dyDescent="0.25">
      <c r="B23" s="28"/>
      <c r="C23" s="16">
        <v>15</v>
      </c>
      <c r="D23" s="11" t="str">
        <f t="shared" si="0"/>
        <v>Spite</v>
      </c>
      <c r="E23" s="106" t="s">
        <v>60</v>
      </c>
      <c r="F23" s="18"/>
      <c r="G23" s="9">
        <v>31</v>
      </c>
      <c r="H23" s="165" t="str">
        <f t="shared" si="1"/>
        <v>Last Resort</v>
      </c>
      <c r="I23" s="166"/>
      <c r="J23" s="167"/>
      <c r="K23" s="103" t="s">
        <v>60</v>
      </c>
      <c r="L23" s="18"/>
      <c r="M23" s="23"/>
      <c r="N23" s="24"/>
      <c r="O23" s="24"/>
      <c r="P23" s="18"/>
      <c r="Q23" s="23"/>
      <c r="R23" s="24"/>
      <c r="S23" s="24"/>
      <c r="T23" s="29"/>
    </row>
    <row r="24" spans="1:30" ht="15.75" thickBot="1" x14ac:dyDescent="0.3">
      <c r="B24" s="28"/>
      <c r="C24" s="17">
        <v>16</v>
      </c>
      <c r="D24" s="97" t="str">
        <f t="shared" si="0"/>
        <v>Air Cutter</v>
      </c>
      <c r="E24" s="107" t="s">
        <v>60</v>
      </c>
      <c r="F24" s="18"/>
      <c r="G24" s="10">
        <v>32</v>
      </c>
      <c r="H24" s="174" t="str">
        <f t="shared" si="1"/>
        <v>Bounce</v>
      </c>
      <c r="I24" s="175"/>
      <c r="J24" s="176"/>
      <c r="K24" s="104" t="s">
        <v>60</v>
      </c>
      <c r="L24" s="18"/>
      <c r="M24" s="23"/>
      <c r="N24" s="24"/>
      <c r="O24" s="24"/>
      <c r="P24" s="18"/>
      <c r="Q24" s="23"/>
      <c r="R24" s="24"/>
      <c r="S24" s="24"/>
      <c r="T24" s="29"/>
    </row>
    <row r="25" spans="1:30" ht="15.75" thickBot="1" x14ac:dyDescent="0.3">
      <c r="B25" s="33"/>
      <c r="C25" s="34"/>
      <c r="D25" s="35"/>
      <c r="E25" s="35"/>
      <c r="F25" s="35"/>
      <c r="G25" s="34"/>
      <c r="H25" s="35"/>
      <c r="I25" s="35"/>
      <c r="J25" s="35"/>
      <c r="K25" s="35"/>
      <c r="L25" s="35"/>
      <c r="M25" s="34"/>
      <c r="N25" s="35"/>
      <c r="O25" s="35"/>
      <c r="P25" s="35"/>
      <c r="Q25" s="34"/>
      <c r="R25" s="36"/>
      <c r="S25" s="36"/>
      <c r="T25" s="37"/>
    </row>
    <row r="26" spans="1:30" ht="15.75" thickBot="1" x14ac:dyDescent="0.3"/>
    <row r="27" spans="1:30" ht="15.75" customHeight="1" x14ac:dyDescent="0.25">
      <c r="A27" s="51"/>
      <c r="B27" s="155" t="s">
        <v>985</v>
      </c>
      <c r="C27" s="156"/>
      <c r="D27" s="156"/>
      <c r="E27" s="156"/>
      <c r="F27" s="156"/>
      <c r="G27" s="156"/>
      <c r="H27" s="156"/>
      <c r="I27" s="156"/>
      <c r="J27" s="156"/>
      <c r="K27" s="156"/>
      <c r="L27" s="159" t="s">
        <v>570</v>
      </c>
      <c r="M27" s="161" t="s">
        <v>999</v>
      </c>
      <c r="N27" s="161"/>
      <c r="O27" s="161"/>
      <c r="P27" s="161"/>
      <c r="Q27" s="161"/>
      <c r="R27" s="161"/>
      <c r="S27" s="161"/>
      <c r="T27" s="162"/>
      <c r="U27" s="51"/>
      <c r="V27" s="51"/>
      <c r="W27" s="51"/>
      <c r="X27" s="51"/>
      <c r="Y27" s="51"/>
      <c r="Z27" s="51"/>
      <c r="AA27" s="51"/>
      <c r="AB27" s="51"/>
      <c r="AC27" s="51"/>
      <c r="AD27" s="51"/>
    </row>
    <row r="28" spans="1:30" ht="15.75" thickBot="1" x14ac:dyDescent="0.3">
      <c r="A28" s="51"/>
      <c r="B28" s="157"/>
      <c r="C28" s="158"/>
      <c r="D28" s="158"/>
      <c r="E28" s="158"/>
      <c r="F28" s="158"/>
      <c r="G28" s="158"/>
      <c r="H28" s="158"/>
      <c r="I28" s="158"/>
      <c r="J28" s="158"/>
      <c r="K28" s="158"/>
      <c r="L28" s="160"/>
      <c r="M28" s="163"/>
      <c r="N28" s="163"/>
      <c r="O28" s="163"/>
      <c r="P28" s="163"/>
      <c r="Q28" s="163"/>
      <c r="R28" s="163"/>
      <c r="S28" s="163"/>
      <c r="T28" s="164"/>
      <c r="U28" s="51"/>
      <c r="V28" s="51"/>
      <c r="W28" s="51"/>
      <c r="X28" s="51"/>
      <c r="Y28" s="51"/>
      <c r="Z28" s="51"/>
      <c r="AA28" s="51"/>
      <c r="AB28" s="51"/>
      <c r="AC28" s="51"/>
      <c r="AD28" s="51"/>
    </row>
    <row r="29" spans="1:30" ht="15.75" thickBot="1" x14ac:dyDescent="0.3">
      <c r="A29" s="51"/>
      <c r="B29" s="62"/>
      <c r="C29" s="23"/>
      <c r="D29" s="92"/>
      <c r="E29" s="80"/>
      <c r="F29" s="80"/>
      <c r="G29" s="23"/>
      <c r="H29" s="93"/>
      <c r="I29" s="93"/>
      <c r="J29" s="93"/>
      <c r="K29" s="93"/>
      <c r="L29" s="80"/>
      <c r="M29" s="23"/>
      <c r="N29" s="92"/>
      <c r="O29" s="63"/>
      <c r="P29" s="63"/>
      <c r="Q29" s="63"/>
      <c r="R29" s="63"/>
      <c r="S29" s="63"/>
      <c r="T29" s="76"/>
      <c r="U29" s="51"/>
      <c r="V29" s="51"/>
      <c r="W29" s="51"/>
      <c r="X29" s="89"/>
      <c r="Y29" s="51"/>
      <c r="Z29" s="51"/>
      <c r="AA29" s="51"/>
      <c r="AB29" s="51"/>
      <c r="AC29" s="51"/>
      <c r="AD29" s="51"/>
    </row>
    <row r="30" spans="1:30" ht="15.75" thickBot="1" x14ac:dyDescent="0.3">
      <c r="A30" s="51"/>
      <c r="B30" s="62"/>
      <c r="C30" s="23"/>
      <c r="D30" s="92"/>
      <c r="E30" s="80"/>
      <c r="F30" s="80"/>
      <c r="G30" s="23"/>
      <c r="H30" s="180" t="s">
        <v>998</v>
      </c>
      <c r="I30" s="181"/>
      <c r="J30" s="181"/>
      <c r="K30" s="182"/>
      <c r="L30" s="80"/>
      <c r="M30" s="23"/>
      <c r="N30" s="94" t="s">
        <v>986</v>
      </c>
      <c r="O30" s="63"/>
      <c r="P30" s="63"/>
      <c r="Q30" s="63"/>
      <c r="R30" s="63"/>
      <c r="S30" s="63"/>
      <c r="T30" s="76"/>
      <c r="U30" s="51"/>
      <c r="V30" s="51"/>
      <c r="W30" s="51"/>
      <c r="X30" s="89"/>
      <c r="Y30" s="51"/>
      <c r="Z30" s="51"/>
      <c r="AA30" s="51"/>
      <c r="AB30" s="51"/>
      <c r="AC30" s="51"/>
      <c r="AD30" s="51"/>
    </row>
    <row r="31" spans="1:30" x14ac:dyDescent="0.25">
      <c r="A31" s="51"/>
      <c r="B31" s="62"/>
      <c r="C31" s="82" t="s">
        <v>58</v>
      </c>
      <c r="D31" s="83" t="s">
        <v>2</v>
      </c>
      <c r="E31" s="149" t="s">
        <v>3</v>
      </c>
      <c r="F31" s="150"/>
      <c r="G31" s="151"/>
      <c r="H31" s="83" t="s">
        <v>996</v>
      </c>
      <c r="I31" s="83" t="s">
        <v>995</v>
      </c>
      <c r="J31" s="83" t="s">
        <v>993</v>
      </c>
      <c r="K31" s="83" t="s">
        <v>994</v>
      </c>
      <c r="L31" s="168" t="s">
        <v>990</v>
      </c>
      <c r="M31" s="168"/>
      <c r="N31" s="83" t="s">
        <v>1</v>
      </c>
      <c r="O31" s="168" t="s">
        <v>991</v>
      </c>
      <c r="P31" s="168"/>
      <c r="Q31" s="168"/>
      <c r="R31" s="168"/>
      <c r="S31" s="169"/>
      <c r="T31" s="75"/>
      <c r="U31" s="51"/>
      <c r="V31" s="51"/>
      <c r="W31" s="51"/>
      <c r="X31" s="51"/>
      <c r="Y31" s="51"/>
      <c r="Z31" s="51"/>
      <c r="AA31" s="51"/>
      <c r="AB31" s="51"/>
      <c r="AC31" s="51"/>
      <c r="AD31" s="51"/>
    </row>
    <row r="32" spans="1:30" x14ac:dyDescent="0.25">
      <c r="A32" s="51"/>
      <c r="B32" s="62"/>
      <c r="C32" s="59">
        <v>1</v>
      </c>
      <c r="D32" s="110">
        <v>291</v>
      </c>
      <c r="E32" s="152" t="str">
        <f>VLOOKUP(D32,Lookups!$D:$E,2,0)</f>
        <v>Dive</v>
      </c>
      <c r="F32" s="153"/>
      <c r="G32" s="154"/>
      <c r="H32" s="113">
        <v>2</v>
      </c>
      <c r="I32" s="114">
        <v>4</v>
      </c>
      <c r="J32" s="115">
        <v>2</v>
      </c>
      <c r="K32" s="116">
        <v>0</v>
      </c>
      <c r="L32" s="124">
        <v>0</v>
      </c>
      <c r="M32" s="124"/>
      <c r="N32" s="117" t="str">
        <f>DEC2HEX(196452+(($C32-1)*12))</f>
        <v>2FF64</v>
      </c>
      <c r="O32" s="141" t="str">
        <f t="shared" ref="O32:O36" si="3">IF(LEN(DEC2HEX($D32))=1,"0"&amp;DEC2HEX($D32)&amp;" 00",IF(LEN(DEC2HEX($D32))=2,DEC2HEX($D32)&amp;" 00",IF(LEN(DEC2HEX($D32))=3,RIGHT(DEC2HEX($D32),2)&amp;" 0"&amp;LEFT(DEC2HEX($D32),1),IF(LEN(DEC2HEX($D32))=4,RIGHT(DEC2HEX($D32),2)&amp;" "&amp;LEFT(DEC2HEX($D32),2),"Error - Move ID too high"))))&amp;" "&amp;IF(LEN(DEC2HEX(H32))=1,"0"&amp;DEC2HEX(H32),DEC2HEX(H32))&amp;" "&amp;IF(LEN(DEC2HEX(I32))=1,"0"&amp;DEC2HEX(I32),DEC2HEX(I32))&amp;" "&amp;IF(LEN(DEC2HEX(J32))=1,"0"&amp;DEC2HEX(J32),DEC2HEX(J32))&amp;" "&amp;IF(LEN(DEC2HEX(K32))=1,"0"&amp;DEC2HEX(K32),DEC2HEX(K32))&amp;" 00 00 "&amp;IF(LEN(DEC2HEX(L32))=1,"0"&amp;DEC2HEX(L32),DEC2HEX(L32))&amp;" 00 00 00"</f>
        <v>23 01 02 04 02 00 00 00 00 00 00 00</v>
      </c>
      <c r="P32" s="141"/>
      <c r="Q32" s="141"/>
      <c r="R32" s="141"/>
      <c r="S32" s="142"/>
      <c r="T32" s="76"/>
      <c r="U32" s="51"/>
      <c r="V32" s="51"/>
      <c r="W32" s="51"/>
      <c r="X32" s="51"/>
      <c r="Y32" s="51"/>
      <c r="Z32" s="51"/>
      <c r="AA32" s="51"/>
      <c r="AB32" s="51"/>
      <c r="AC32" s="51"/>
      <c r="AD32" s="51"/>
    </row>
    <row r="33" spans="1:30" x14ac:dyDescent="0.25">
      <c r="A33" s="51"/>
      <c r="B33" s="62"/>
      <c r="C33" s="59">
        <v>2</v>
      </c>
      <c r="D33" s="110">
        <v>189</v>
      </c>
      <c r="E33" s="152" t="str">
        <f>VLOOKUP(D33,Lookups!$D:$E,2,0)</f>
        <v>Mud-Slap</v>
      </c>
      <c r="F33" s="153"/>
      <c r="G33" s="154"/>
      <c r="H33" s="113">
        <v>4</v>
      </c>
      <c r="I33" s="114">
        <v>4</v>
      </c>
      <c r="J33" s="115">
        <v>0</v>
      </c>
      <c r="K33" s="116">
        <v>0</v>
      </c>
      <c r="L33" s="124">
        <v>1</v>
      </c>
      <c r="M33" s="124"/>
      <c r="N33" s="117" t="str">
        <f t="shared" ref="N33:N69" si="4">DEC2HEX(196452+(($C33-1)*12))</f>
        <v>2FF70</v>
      </c>
      <c r="O33" s="141" t="str">
        <f t="shared" si="3"/>
        <v>BD 00 04 04 00 00 00 00 01 00 00 00</v>
      </c>
      <c r="P33" s="141"/>
      <c r="Q33" s="141"/>
      <c r="R33" s="141"/>
      <c r="S33" s="142"/>
      <c r="T33" s="76"/>
      <c r="U33" s="51"/>
      <c r="V33" s="51"/>
      <c r="W33" s="51"/>
      <c r="X33" s="51"/>
      <c r="Y33" s="51"/>
      <c r="Z33" s="51"/>
      <c r="AA33" s="51"/>
      <c r="AB33" s="51"/>
      <c r="AC33" s="51"/>
      <c r="AD33" s="51"/>
    </row>
    <row r="34" spans="1:30" x14ac:dyDescent="0.25">
      <c r="A34" s="51"/>
      <c r="B34" s="62"/>
      <c r="C34" s="59">
        <v>3</v>
      </c>
      <c r="D34" s="110">
        <v>210</v>
      </c>
      <c r="E34" s="152" t="str">
        <f>VLOOKUP(D34,Lookups!$D:$E,2,0)</f>
        <v>Fury Cutter</v>
      </c>
      <c r="F34" s="153"/>
      <c r="G34" s="154"/>
      <c r="H34" s="113">
        <v>0</v>
      </c>
      <c r="I34" s="114">
        <v>8</v>
      </c>
      <c r="J34" s="115">
        <v>0</v>
      </c>
      <c r="K34" s="116">
        <v>0</v>
      </c>
      <c r="L34" s="124">
        <v>0</v>
      </c>
      <c r="M34" s="124"/>
      <c r="N34" s="117" t="str">
        <f t="shared" si="4"/>
        <v>2FF7C</v>
      </c>
      <c r="O34" s="141" t="str">
        <f t="shared" si="3"/>
        <v>D2 00 00 08 00 00 00 00 00 00 00 00</v>
      </c>
      <c r="P34" s="141"/>
      <c r="Q34" s="141"/>
      <c r="R34" s="141"/>
      <c r="S34" s="142"/>
      <c r="T34" s="76"/>
      <c r="U34" s="51"/>
      <c r="V34" s="51"/>
      <c r="W34" s="51"/>
      <c r="X34" s="51"/>
      <c r="Y34" s="51"/>
      <c r="Z34" s="51"/>
      <c r="AA34" s="51"/>
      <c r="AB34" s="51"/>
      <c r="AC34" s="51"/>
      <c r="AD34" s="51"/>
    </row>
    <row r="35" spans="1:30" x14ac:dyDescent="0.25">
      <c r="A35" s="51"/>
      <c r="B35" s="62"/>
      <c r="C35" s="59">
        <v>4</v>
      </c>
      <c r="D35" s="110">
        <v>196</v>
      </c>
      <c r="E35" s="152" t="str">
        <f>VLOOKUP(D35,Lookups!$D:$E,2,0)</f>
        <v>Icy Wind</v>
      </c>
      <c r="F35" s="153"/>
      <c r="G35" s="154"/>
      <c r="H35" s="113">
        <v>0</v>
      </c>
      <c r="I35" s="114">
        <v>6</v>
      </c>
      <c r="J35" s="115">
        <v>0</v>
      </c>
      <c r="K35" s="116">
        <v>2</v>
      </c>
      <c r="L35" s="124">
        <v>0</v>
      </c>
      <c r="M35" s="124"/>
      <c r="N35" s="117" t="str">
        <f t="shared" si="4"/>
        <v>2FF88</v>
      </c>
      <c r="O35" s="141" t="str">
        <f t="shared" si="3"/>
        <v>C4 00 00 06 00 02 00 00 00 00 00 00</v>
      </c>
      <c r="P35" s="141"/>
      <c r="Q35" s="141"/>
      <c r="R35" s="141"/>
      <c r="S35" s="142"/>
      <c r="T35" s="76"/>
      <c r="U35" s="51"/>
      <c r="V35" s="51"/>
      <c r="W35" s="51"/>
      <c r="X35" s="51"/>
      <c r="Y35" s="51"/>
      <c r="Z35" s="51"/>
      <c r="AA35" s="51"/>
      <c r="AB35" s="51"/>
      <c r="AC35" s="51"/>
      <c r="AD35" s="51"/>
    </row>
    <row r="36" spans="1:30" x14ac:dyDescent="0.25">
      <c r="A36" s="51"/>
      <c r="B36" s="62"/>
      <c r="C36" s="59">
        <v>5</v>
      </c>
      <c r="D36" s="110">
        <v>205</v>
      </c>
      <c r="E36" s="152" t="str">
        <f>VLOOKUP(D36,Lookups!$D:$E,2,0)</f>
        <v>Rollout</v>
      </c>
      <c r="F36" s="153"/>
      <c r="G36" s="154"/>
      <c r="H36" s="113">
        <v>4</v>
      </c>
      <c r="I36" s="114">
        <v>2</v>
      </c>
      <c r="J36" s="115">
        <v>0</v>
      </c>
      <c r="K36" s="116">
        <v>2</v>
      </c>
      <c r="L36" s="124">
        <v>1</v>
      </c>
      <c r="M36" s="124"/>
      <c r="N36" s="117" t="str">
        <f t="shared" si="4"/>
        <v>2FF94</v>
      </c>
      <c r="O36" s="141" t="str">
        <f t="shared" si="3"/>
        <v>CD 00 04 02 00 02 00 00 01 00 00 00</v>
      </c>
      <c r="P36" s="141"/>
      <c r="Q36" s="141"/>
      <c r="R36" s="141"/>
      <c r="S36" s="142"/>
      <c r="T36" s="76"/>
      <c r="U36" s="51"/>
      <c r="V36" s="51"/>
      <c r="W36" s="51"/>
      <c r="X36" s="51"/>
      <c r="Y36" s="51"/>
      <c r="Z36" s="51"/>
      <c r="AA36" s="51"/>
      <c r="AB36" s="51"/>
      <c r="AC36" s="51"/>
      <c r="AD36" s="51"/>
    </row>
    <row r="37" spans="1:30" x14ac:dyDescent="0.25">
      <c r="A37" s="51"/>
      <c r="B37" s="62"/>
      <c r="C37" s="59">
        <v>6</v>
      </c>
      <c r="D37" s="110">
        <v>9</v>
      </c>
      <c r="E37" s="152" t="str">
        <f>VLOOKUP(D37,Lookups!$D:$E,2,0)</f>
        <v>ThunderPunch</v>
      </c>
      <c r="F37" s="153"/>
      <c r="G37" s="154"/>
      <c r="H37" s="113">
        <v>2</v>
      </c>
      <c r="I37" s="114">
        <v>6</v>
      </c>
      <c r="J37" s="115">
        <v>0</v>
      </c>
      <c r="K37" s="116">
        <v>0</v>
      </c>
      <c r="L37" s="124">
        <v>0</v>
      </c>
      <c r="M37" s="124"/>
      <c r="N37" s="117" t="str">
        <f t="shared" si="4"/>
        <v>2FFA0</v>
      </c>
      <c r="O37" s="141" t="str">
        <f>IF(LEN(DEC2HEX($D37))=1,"0"&amp;DEC2HEX($D37)&amp;" 00",IF(LEN(DEC2HEX($D37))=2,DEC2HEX($D37)&amp;" 00",IF(LEN(DEC2HEX($D37))=3,RIGHT(DEC2HEX($D37),2)&amp;" 0"&amp;LEFT(DEC2HEX($D37),1),IF(LEN(DEC2HEX($D37))=4,RIGHT(DEC2HEX($D37),2)&amp;" "&amp;LEFT(DEC2HEX($D37),2),"Error - Move ID too high"))))&amp;" "&amp;IF(LEN(DEC2HEX(H37))=1,"0"&amp;DEC2HEX(H37),DEC2HEX(H37))&amp;" "&amp;IF(LEN(DEC2HEX(I37))=1,"0"&amp;DEC2HEX(I37),DEC2HEX(I37))&amp;" "&amp;IF(LEN(DEC2HEX(J37))=1,"0"&amp;DEC2HEX(J37),DEC2HEX(J37))&amp;" "&amp;IF(LEN(DEC2HEX(K37))=1,"0"&amp;DEC2HEX(K37),DEC2HEX(K37))&amp;" 00 00 "&amp;IF(LEN(DEC2HEX(L37))=1,"0"&amp;DEC2HEX(L37),DEC2HEX(L37))&amp;" 00 00 00"</f>
        <v>09 00 02 06 00 00 00 00 00 00 00 00</v>
      </c>
      <c r="P37" s="141"/>
      <c r="Q37" s="141"/>
      <c r="R37" s="141"/>
      <c r="S37" s="142"/>
      <c r="T37" s="76"/>
      <c r="U37" s="51"/>
      <c r="V37" s="51"/>
      <c r="W37" s="51"/>
      <c r="X37" s="51"/>
      <c r="Y37" s="51"/>
      <c r="Z37" s="51"/>
      <c r="AA37" s="51"/>
      <c r="AB37" s="51"/>
      <c r="AC37" s="51"/>
      <c r="AD37" s="51"/>
    </row>
    <row r="38" spans="1:30" x14ac:dyDescent="0.25">
      <c r="A38" s="51"/>
      <c r="B38" s="62"/>
      <c r="C38" s="59">
        <v>7</v>
      </c>
      <c r="D38" s="110">
        <v>7</v>
      </c>
      <c r="E38" s="152" t="str">
        <f>VLOOKUP(D38,Lookups!$D:$E,2,0)</f>
        <v>Fire Punch</v>
      </c>
      <c r="F38" s="153"/>
      <c r="G38" s="154"/>
      <c r="H38" s="113">
        <v>2</v>
      </c>
      <c r="I38" s="114">
        <v>6</v>
      </c>
      <c r="J38" s="115">
        <v>0</v>
      </c>
      <c r="K38" s="116">
        <v>0</v>
      </c>
      <c r="L38" s="124">
        <v>0</v>
      </c>
      <c r="M38" s="124"/>
      <c r="N38" s="117" t="str">
        <f t="shared" si="4"/>
        <v>2FFAC</v>
      </c>
      <c r="O38" s="141" t="str">
        <f t="shared" ref="O38:O69" si="5">IF(LEN(DEC2HEX($D38))=1,"0"&amp;DEC2HEX($D38)&amp;" 00",IF(LEN(DEC2HEX($D38))=2,DEC2HEX($D38)&amp;" 00",IF(LEN(DEC2HEX($D38))=3,RIGHT(DEC2HEX($D38),2)&amp;" 0"&amp;LEFT(DEC2HEX($D38),1),IF(LEN(DEC2HEX($D38))=4,RIGHT(DEC2HEX($D38),2)&amp;" "&amp;LEFT(DEC2HEX($D38),2),"Error - Move ID too high"))))&amp;" "&amp;IF(LEN(DEC2HEX(H38))=1,"0"&amp;DEC2HEX(H38),DEC2HEX(H38))&amp;" "&amp;IF(LEN(DEC2HEX(I38))=1,"0"&amp;DEC2HEX(I38),DEC2HEX(I38))&amp;" "&amp;IF(LEN(DEC2HEX(J38))=1,"0"&amp;DEC2HEX(J38),DEC2HEX(J38))&amp;" "&amp;IF(LEN(DEC2HEX(K38))=1,"0"&amp;DEC2HEX(K38),DEC2HEX(K38))&amp;" 00 00 "&amp;IF(LEN(DEC2HEX(L38))=1,"0"&amp;DEC2HEX(L38),DEC2HEX(L38))&amp;" 00 00 00"</f>
        <v>07 00 02 06 00 00 00 00 00 00 00 00</v>
      </c>
      <c r="P38" s="141"/>
      <c r="Q38" s="141"/>
      <c r="R38" s="141"/>
      <c r="S38" s="142"/>
      <c r="T38" s="76"/>
      <c r="U38" s="51"/>
      <c r="V38" s="51"/>
      <c r="W38" s="51"/>
      <c r="X38" s="51"/>
      <c r="Y38" s="51"/>
      <c r="Z38" s="51"/>
      <c r="AA38" s="51"/>
      <c r="AB38" s="51"/>
      <c r="AC38" s="51"/>
      <c r="AD38" s="51"/>
    </row>
    <row r="39" spans="1:30" x14ac:dyDescent="0.25">
      <c r="A39" s="51"/>
      <c r="B39" s="62"/>
      <c r="C39" s="59">
        <v>8</v>
      </c>
      <c r="D39" s="110">
        <v>276</v>
      </c>
      <c r="E39" s="152" t="str">
        <f>VLOOKUP(D39,Lookups!$D:$E,2,0)</f>
        <v>Superpower</v>
      </c>
      <c r="F39" s="153"/>
      <c r="G39" s="154"/>
      <c r="H39" s="113">
        <v>8</v>
      </c>
      <c r="I39" s="114">
        <v>0</v>
      </c>
      <c r="J39" s="115">
        <v>0</v>
      </c>
      <c r="K39" s="116">
        <v>0</v>
      </c>
      <c r="L39" s="124">
        <v>1</v>
      </c>
      <c r="M39" s="124"/>
      <c r="N39" s="117" t="str">
        <f t="shared" si="4"/>
        <v>2FFB8</v>
      </c>
      <c r="O39" s="141" t="str">
        <f t="shared" si="5"/>
        <v>14 01 08 00 00 00 00 00 01 00 00 00</v>
      </c>
      <c r="P39" s="141"/>
      <c r="Q39" s="141"/>
      <c r="R39" s="141"/>
      <c r="S39" s="142"/>
      <c r="T39" s="76"/>
      <c r="U39" s="51"/>
      <c r="V39" s="51"/>
      <c r="W39" s="51"/>
      <c r="X39" s="51"/>
      <c r="Y39" s="51"/>
      <c r="Z39" s="51"/>
      <c r="AA39" s="51"/>
      <c r="AB39" s="51"/>
      <c r="AC39" s="51"/>
      <c r="AD39" s="51"/>
    </row>
    <row r="40" spans="1:30" x14ac:dyDescent="0.25">
      <c r="A40" s="51"/>
      <c r="B40" s="62"/>
      <c r="C40" s="59">
        <v>9</v>
      </c>
      <c r="D40" s="110">
        <v>8</v>
      </c>
      <c r="E40" s="152" t="str">
        <f>VLOOKUP(D40,Lookups!$D:$E,2,0)</f>
        <v>Ice Punch</v>
      </c>
      <c r="F40" s="153"/>
      <c r="G40" s="154"/>
      <c r="H40" s="113">
        <v>2</v>
      </c>
      <c r="I40" s="114">
        <v>6</v>
      </c>
      <c r="J40" s="115">
        <v>0</v>
      </c>
      <c r="K40" s="116">
        <v>0</v>
      </c>
      <c r="L40" s="124">
        <v>0</v>
      </c>
      <c r="M40" s="124"/>
      <c r="N40" s="117" t="str">
        <f t="shared" si="4"/>
        <v>2FFC4</v>
      </c>
      <c r="O40" s="141" t="str">
        <f t="shared" si="5"/>
        <v>08 00 02 06 00 00 00 00 00 00 00 00</v>
      </c>
      <c r="P40" s="141"/>
      <c r="Q40" s="141"/>
      <c r="R40" s="141"/>
      <c r="S40" s="142"/>
      <c r="T40" s="76"/>
      <c r="U40" s="51"/>
      <c r="V40" s="51"/>
      <c r="W40" s="51"/>
      <c r="X40" s="51"/>
      <c r="Y40" s="51"/>
      <c r="Z40" s="51"/>
      <c r="AA40" s="51"/>
      <c r="AB40" s="51"/>
      <c r="AC40" s="51"/>
      <c r="AD40" s="51"/>
    </row>
    <row r="41" spans="1:30" x14ac:dyDescent="0.25">
      <c r="A41" s="51"/>
      <c r="B41" s="62"/>
      <c r="C41" s="59">
        <v>10</v>
      </c>
      <c r="D41" s="110">
        <v>442</v>
      </c>
      <c r="E41" s="152" t="str">
        <f>VLOOKUP(D41,Lookups!$D:$E,2,0)</f>
        <v>Iron Head</v>
      </c>
      <c r="F41" s="153"/>
      <c r="G41" s="154"/>
      <c r="H41" s="113">
        <v>6</v>
      </c>
      <c r="I41" s="114">
        <v>0</v>
      </c>
      <c r="J41" s="115">
        <v>2</v>
      </c>
      <c r="K41" s="116">
        <v>0</v>
      </c>
      <c r="L41" s="124">
        <v>1</v>
      </c>
      <c r="M41" s="124"/>
      <c r="N41" s="117" t="str">
        <f t="shared" si="4"/>
        <v>2FFD0</v>
      </c>
      <c r="O41" s="141" t="str">
        <f t="shared" si="5"/>
        <v>BA 01 06 00 02 00 00 00 01 00 00 00</v>
      </c>
      <c r="P41" s="141"/>
      <c r="Q41" s="141"/>
      <c r="R41" s="141"/>
      <c r="S41" s="142"/>
      <c r="T41" s="76"/>
      <c r="U41" s="51"/>
      <c r="V41" s="51"/>
      <c r="W41" s="51"/>
      <c r="X41" s="51"/>
      <c r="Y41" s="51"/>
      <c r="Z41" s="51"/>
      <c r="AA41" s="51"/>
      <c r="AB41" s="51"/>
      <c r="AC41" s="51"/>
      <c r="AD41" s="51"/>
    </row>
    <row r="42" spans="1:30" x14ac:dyDescent="0.25">
      <c r="A42" s="51"/>
      <c r="B42" s="62"/>
      <c r="C42" s="59">
        <v>11</v>
      </c>
      <c r="D42" s="110">
        <v>401</v>
      </c>
      <c r="E42" s="152" t="str">
        <f>VLOOKUP(D42,Lookups!$D:$E,2,0)</f>
        <v>Aqua Tail</v>
      </c>
      <c r="F42" s="153"/>
      <c r="G42" s="154"/>
      <c r="H42" s="113">
        <v>6</v>
      </c>
      <c r="I42" s="114">
        <v>0</v>
      </c>
      <c r="J42" s="115">
        <v>0</v>
      </c>
      <c r="K42" s="116">
        <v>2</v>
      </c>
      <c r="L42" s="124">
        <v>1</v>
      </c>
      <c r="M42" s="124"/>
      <c r="N42" s="117" t="str">
        <f t="shared" si="4"/>
        <v>2FFDC</v>
      </c>
      <c r="O42" s="141" t="str">
        <f t="shared" si="5"/>
        <v>91 01 06 00 00 02 00 00 01 00 00 00</v>
      </c>
      <c r="P42" s="141"/>
      <c r="Q42" s="141"/>
      <c r="R42" s="141"/>
      <c r="S42" s="142"/>
      <c r="T42" s="76"/>
      <c r="U42" s="51"/>
      <c r="V42" s="51"/>
      <c r="W42" s="51"/>
      <c r="X42" s="51"/>
      <c r="Y42" s="51"/>
      <c r="Z42" s="51"/>
      <c r="AA42" s="51"/>
      <c r="AB42" s="51"/>
      <c r="AC42" s="51"/>
      <c r="AD42" s="51"/>
    </row>
    <row r="43" spans="1:30" x14ac:dyDescent="0.25">
      <c r="A43" s="51"/>
      <c r="B43" s="62"/>
      <c r="C43" s="59">
        <v>12</v>
      </c>
      <c r="D43" s="110">
        <v>466</v>
      </c>
      <c r="E43" s="152" t="str">
        <f>VLOOKUP(D43,Lookups!$D:$E,2,0)</f>
        <v>Ominous Wind</v>
      </c>
      <c r="F43" s="153"/>
      <c r="G43" s="154"/>
      <c r="H43" s="113">
        <v>0</v>
      </c>
      <c r="I43" s="114">
        <v>6</v>
      </c>
      <c r="J43" s="115">
        <v>0</v>
      </c>
      <c r="K43" s="116">
        <v>2</v>
      </c>
      <c r="L43" s="124">
        <v>0</v>
      </c>
      <c r="M43" s="124"/>
      <c r="N43" s="117" t="str">
        <f t="shared" si="4"/>
        <v>2FFE8</v>
      </c>
      <c r="O43" s="141" t="str">
        <f t="shared" si="5"/>
        <v>D2 01 00 06 00 02 00 00 00 00 00 00</v>
      </c>
      <c r="P43" s="141"/>
      <c r="Q43" s="141"/>
      <c r="R43" s="141"/>
      <c r="S43" s="142"/>
      <c r="T43" s="76"/>
      <c r="U43" s="51"/>
      <c r="V43" s="51"/>
      <c r="W43" s="51"/>
      <c r="X43" s="51"/>
      <c r="Y43" s="51"/>
      <c r="Z43" s="51"/>
      <c r="AA43" s="51"/>
      <c r="AB43" s="51"/>
      <c r="AC43" s="51"/>
      <c r="AD43" s="51"/>
    </row>
    <row r="44" spans="1:30" x14ac:dyDescent="0.25">
      <c r="A44" s="51"/>
      <c r="B44" s="62"/>
      <c r="C44" s="59">
        <v>13</v>
      </c>
      <c r="D44" s="110">
        <v>380</v>
      </c>
      <c r="E44" s="152" t="str">
        <f>VLOOKUP(D44,Lookups!$D:$E,2,0)</f>
        <v>Gastro Acid</v>
      </c>
      <c r="F44" s="153"/>
      <c r="G44" s="154"/>
      <c r="H44" s="113">
        <v>4</v>
      </c>
      <c r="I44" s="114">
        <v>0</v>
      </c>
      <c r="J44" s="115">
        <v>2</v>
      </c>
      <c r="K44" s="116">
        <v>2</v>
      </c>
      <c r="L44" s="124">
        <v>1</v>
      </c>
      <c r="M44" s="124"/>
      <c r="N44" s="117" t="str">
        <f t="shared" si="4"/>
        <v>2FFF4</v>
      </c>
      <c r="O44" s="141" t="str">
        <f t="shared" si="5"/>
        <v>7C 01 04 00 02 02 00 00 01 00 00 00</v>
      </c>
      <c r="P44" s="141"/>
      <c r="Q44" s="141"/>
      <c r="R44" s="141"/>
      <c r="S44" s="142"/>
      <c r="T44" s="76"/>
      <c r="U44" s="51"/>
      <c r="V44" s="51"/>
      <c r="W44" s="51"/>
      <c r="X44" s="51"/>
      <c r="Y44" s="51"/>
      <c r="Z44" s="51"/>
      <c r="AA44" s="51"/>
      <c r="AB44" s="51"/>
      <c r="AC44" s="51"/>
      <c r="AD44" s="51"/>
    </row>
    <row r="45" spans="1:30" x14ac:dyDescent="0.25">
      <c r="A45" s="51"/>
      <c r="B45" s="62"/>
      <c r="C45" s="59">
        <v>14</v>
      </c>
      <c r="D45" s="110">
        <v>173</v>
      </c>
      <c r="E45" s="152" t="str">
        <f>VLOOKUP(D45,Lookups!$D:$E,2,0)</f>
        <v>Snore</v>
      </c>
      <c r="F45" s="153"/>
      <c r="G45" s="154"/>
      <c r="H45" s="113">
        <v>2</v>
      </c>
      <c r="I45" s="114">
        <v>0</v>
      </c>
      <c r="J45" s="115">
        <v>4</v>
      </c>
      <c r="K45" s="116">
        <v>2</v>
      </c>
      <c r="L45" s="124">
        <v>2</v>
      </c>
      <c r="M45" s="124"/>
      <c r="N45" s="117" t="str">
        <f t="shared" si="4"/>
        <v>30000</v>
      </c>
      <c r="O45" s="141" t="str">
        <f t="shared" si="5"/>
        <v>AD 00 02 00 04 02 00 00 02 00 00 00</v>
      </c>
      <c r="P45" s="141"/>
      <c r="Q45" s="141"/>
      <c r="R45" s="141"/>
      <c r="S45" s="142"/>
      <c r="T45" s="76"/>
      <c r="U45" s="51"/>
      <c r="V45" s="51"/>
      <c r="W45" s="51"/>
      <c r="X45" s="51"/>
      <c r="Y45" s="51"/>
      <c r="Z45" s="51"/>
      <c r="AA45" s="51"/>
      <c r="AB45" s="51"/>
      <c r="AC45" s="51"/>
      <c r="AD45" s="51"/>
    </row>
    <row r="46" spans="1:30" x14ac:dyDescent="0.25">
      <c r="A46" s="51"/>
      <c r="B46" s="62"/>
      <c r="C46" s="59">
        <v>15</v>
      </c>
      <c r="D46" s="110">
        <v>180</v>
      </c>
      <c r="E46" s="152" t="str">
        <f>VLOOKUP(D46,Lookups!$D:$E,2,0)</f>
        <v>Spite</v>
      </c>
      <c r="F46" s="153"/>
      <c r="G46" s="154"/>
      <c r="H46" s="113">
        <v>0</v>
      </c>
      <c r="I46" s="114">
        <v>0</v>
      </c>
      <c r="J46" s="115">
        <v>8</v>
      </c>
      <c r="K46" s="116">
        <v>0</v>
      </c>
      <c r="L46" s="124">
        <v>2</v>
      </c>
      <c r="M46" s="124"/>
      <c r="N46" s="117" t="str">
        <f t="shared" si="4"/>
        <v>3000C</v>
      </c>
      <c r="O46" s="141" t="str">
        <f t="shared" si="5"/>
        <v>B4 00 00 00 08 00 00 00 02 00 00 00</v>
      </c>
      <c r="P46" s="141"/>
      <c r="Q46" s="141"/>
      <c r="R46" s="141"/>
      <c r="S46" s="142"/>
      <c r="T46" s="76"/>
      <c r="U46" s="51"/>
      <c r="V46" s="51"/>
      <c r="W46" s="51"/>
      <c r="X46" s="51"/>
      <c r="Y46" s="51"/>
      <c r="Z46" s="51"/>
      <c r="AA46" s="51"/>
      <c r="AB46" s="51"/>
      <c r="AC46" s="51"/>
      <c r="AD46" s="51"/>
    </row>
    <row r="47" spans="1:30" x14ac:dyDescent="0.25">
      <c r="A47" s="51"/>
      <c r="B47" s="62"/>
      <c r="C47" s="59">
        <v>16</v>
      </c>
      <c r="D47" s="110">
        <v>314</v>
      </c>
      <c r="E47" s="152" t="str">
        <f>VLOOKUP(D47,Lookups!$D:$E,2,0)</f>
        <v>Air Cutter</v>
      </c>
      <c r="F47" s="153"/>
      <c r="G47" s="154"/>
      <c r="H47" s="113">
        <v>2</v>
      </c>
      <c r="I47" s="114">
        <v>4</v>
      </c>
      <c r="J47" s="115">
        <v>0</v>
      </c>
      <c r="K47" s="116">
        <v>2</v>
      </c>
      <c r="L47" s="124">
        <v>0</v>
      </c>
      <c r="M47" s="124"/>
      <c r="N47" s="117" t="str">
        <f t="shared" si="4"/>
        <v>30018</v>
      </c>
      <c r="O47" s="141" t="str">
        <f t="shared" si="5"/>
        <v>3A 01 02 04 00 02 00 00 00 00 00 00</v>
      </c>
      <c r="P47" s="141"/>
      <c r="Q47" s="141"/>
      <c r="R47" s="141"/>
      <c r="S47" s="142"/>
      <c r="T47" s="76"/>
      <c r="U47" s="51"/>
      <c r="V47" s="51"/>
      <c r="W47" s="51"/>
      <c r="X47" s="51"/>
      <c r="Y47" s="51"/>
      <c r="Z47" s="51"/>
      <c r="AA47" s="51"/>
      <c r="AB47" s="51"/>
      <c r="AC47" s="51"/>
      <c r="AD47" s="51"/>
    </row>
    <row r="48" spans="1:30" x14ac:dyDescent="0.25">
      <c r="A48" s="51"/>
      <c r="B48" s="62"/>
      <c r="C48" s="59">
        <v>17</v>
      </c>
      <c r="D48" s="110">
        <v>270</v>
      </c>
      <c r="E48" s="152" t="str">
        <f>VLOOKUP(D48,Lookups!$D:$E,2,0)</f>
        <v>Helping Hand</v>
      </c>
      <c r="F48" s="153"/>
      <c r="G48" s="154"/>
      <c r="H48" s="113">
        <v>2</v>
      </c>
      <c r="I48" s="114">
        <v>0</v>
      </c>
      <c r="J48" s="115">
        <v>4</v>
      </c>
      <c r="K48" s="116">
        <v>2</v>
      </c>
      <c r="L48" s="124">
        <v>2</v>
      </c>
      <c r="M48" s="124"/>
      <c r="N48" s="117" t="str">
        <f t="shared" si="4"/>
        <v>30024</v>
      </c>
      <c r="O48" s="141" t="str">
        <f t="shared" si="5"/>
        <v>0E 01 02 00 04 02 00 00 02 00 00 00</v>
      </c>
      <c r="P48" s="141"/>
      <c r="Q48" s="141"/>
      <c r="R48" s="141"/>
      <c r="S48" s="142"/>
      <c r="T48" s="76"/>
      <c r="U48" s="51"/>
      <c r="V48" s="51"/>
      <c r="W48" s="51"/>
      <c r="X48" s="51"/>
      <c r="Y48" s="51"/>
      <c r="Z48" s="51"/>
      <c r="AA48" s="51"/>
      <c r="AB48" s="51"/>
      <c r="AC48" s="51"/>
      <c r="AD48" s="51"/>
    </row>
    <row r="49" spans="1:30" x14ac:dyDescent="0.25">
      <c r="A49" s="51"/>
      <c r="B49" s="62"/>
      <c r="C49" s="59">
        <v>18</v>
      </c>
      <c r="D49" s="110">
        <v>283</v>
      </c>
      <c r="E49" s="152" t="str">
        <f>VLOOKUP(D49,Lookups!$D:$E,2,0)</f>
        <v>Endeavor</v>
      </c>
      <c r="F49" s="153"/>
      <c r="G49" s="154"/>
      <c r="H49" s="113">
        <v>4</v>
      </c>
      <c r="I49" s="114">
        <v>0</v>
      </c>
      <c r="J49" s="115">
        <v>4</v>
      </c>
      <c r="K49" s="116">
        <v>0</v>
      </c>
      <c r="L49" s="124">
        <v>1</v>
      </c>
      <c r="M49" s="124"/>
      <c r="N49" s="117" t="str">
        <f t="shared" si="4"/>
        <v>30030</v>
      </c>
      <c r="O49" s="141" t="str">
        <f t="shared" si="5"/>
        <v>1B 01 04 00 04 00 00 00 01 00 00 00</v>
      </c>
      <c r="P49" s="141"/>
      <c r="Q49" s="141"/>
      <c r="R49" s="141"/>
      <c r="S49" s="142"/>
      <c r="T49" s="76"/>
      <c r="U49" s="51"/>
      <c r="V49" s="51"/>
      <c r="W49" s="51"/>
      <c r="X49" s="51"/>
      <c r="Y49" s="51"/>
      <c r="Z49" s="51"/>
      <c r="AA49" s="51"/>
      <c r="AB49" s="51"/>
      <c r="AC49" s="51"/>
      <c r="AD49" s="51"/>
    </row>
    <row r="50" spans="1:30" x14ac:dyDescent="0.25">
      <c r="A50" s="51"/>
      <c r="B50" s="62"/>
      <c r="C50" s="59">
        <v>19</v>
      </c>
      <c r="D50" s="110">
        <v>200</v>
      </c>
      <c r="E50" s="152" t="str">
        <f>VLOOKUP(D50,Lookups!$D:$E,2,0)</f>
        <v>Outrage</v>
      </c>
      <c r="F50" s="153"/>
      <c r="G50" s="154"/>
      <c r="H50" s="113">
        <v>6</v>
      </c>
      <c r="I50" s="114">
        <v>0</v>
      </c>
      <c r="J50" s="115">
        <v>2</v>
      </c>
      <c r="K50" s="116">
        <v>0</v>
      </c>
      <c r="L50" s="124">
        <v>1</v>
      </c>
      <c r="M50" s="124"/>
      <c r="N50" s="117" t="str">
        <f t="shared" si="4"/>
        <v>3003C</v>
      </c>
      <c r="O50" s="141" t="str">
        <f t="shared" si="5"/>
        <v>C8 00 06 00 02 00 00 00 01 00 00 00</v>
      </c>
      <c r="P50" s="141"/>
      <c r="Q50" s="141"/>
      <c r="R50" s="141"/>
      <c r="S50" s="142"/>
      <c r="T50" s="76"/>
      <c r="U50" s="51"/>
      <c r="V50" s="51"/>
      <c r="W50" s="51"/>
      <c r="X50" s="51"/>
      <c r="Y50" s="51"/>
      <c r="Z50" s="51"/>
      <c r="AA50" s="51"/>
      <c r="AB50" s="51"/>
      <c r="AC50" s="51"/>
      <c r="AD50" s="51"/>
    </row>
    <row r="51" spans="1:30" x14ac:dyDescent="0.25">
      <c r="A51" s="51"/>
      <c r="B51" s="62"/>
      <c r="C51" s="59">
        <v>20</v>
      </c>
      <c r="D51" s="110">
        <v>246</v>
      </c>
      <c r="E51" s="152" t="str">
        <f>VLOOKUP(D51,Lookups!$D:$E,2,0)</f>
        <v>AncientPower</v>
      </c>
      <c r="F51" s="153"/>
      <c r="G51" s="154"/>
      <c r="H51" s="113">
        <v>6</v>
      </c>
      <c r="I51" s="114">
        <v>0</v>
      </c>
      <c r="J51" s="115">
        <v>0</v>
      </c>
      <c r="K51" s="116">
        <v>2</v>
      </c>
      <c r="L51" s="124">
        <v>1</v>
      </c>
      <c r="M51" s="124"/>
      <c r="N51" s="117" t="str">
        <f t="shared" si="4"/>
        <v>30048</v>
      </c>
      <c r="O51" s="141" t="str">
        <f t="shared" si="5"/>
        <v>F6 00 06 00 00 02 00 00 01 00 00 00</v>
      </c>
      <c r="P51" s="141"/>
      <c r="Q51" s="141"/>
      <c r="R51" s="141"/>
      <c r="S51" s="142"/>
      <c r="T51" s="76"/>
      <c r="U51" s="51"/>
      <c r="V51" s="51"/>
      <c r="W51" s="51"/>
      <c r="X51" s="51"/>
      <c r="Y51" s="51"/>
      <c r="Z51" s="51"/>
      <c r="AA51" s="51"/>
      <c r="AB51" s="51"/>
      <c r="AC51" s="51"/>
      <c r="AD51" s="51"/>
    </row>
    <row r="52" spans="1:30" x14ac:dyDescent="0.25">
      <c r="A52" s="51"/>
      <c r="B52" s="62"/>
      <c r="C52" s="59">
        <v>21</v>
      </c>
      <c r="D52" s="110">
        <v>235</v>
      </c>
      <c r="E52" s="152" t="str">
        <f>VLOOKUP(D52,Lookups!$D:$E,2,0)</f>
        <v>Synthesis</v>
      </c>
      <c r="F52" s="153"/>
      <c r="G52" s="154"/>
      <c r="H52" s="113">
        <v>0</v>
      </c>
      <c r="I52" s="114">
        <v>0</v>
      </c>
      <c r="J52" s="115">
        <v>2</v>
      </c>
      <c r="K52" s="116">
        <v>6</v>
      </c>
      <c r="L52" s="124">
        <v>2</v>
      </c>
      <c r="M52" s="124"/>
      <c r="N52" s="117" t="str">
        <f t="shared" si="4"/>
        <v>30054</v>
      </c>
      <c r="O52" s="141" t="str">
        <f t="shared" si="5"/>
        <v>EB 00 00 00 02 06 00 00 02 00 00 00</v>
      </c>
      <c r="P52" s="141"/>
      <c r="Q52" s="141"/>
      <c r="R52" s="141"/>
      <c r="S52" s="142"/>
      <c r="T52" s="76"/>
      <c r="U52" s="51"/>
      <c r="V52" s="51"/>
      <c r="W52" s="51"/>
      <c r="X52" s="51"/>
      <c r="Y52" s="51"/>
      <c r="Z52" s="51"/>
      <c r="AA52" s="51"/>
      <c r="AB52" s="51"/>
      <c r="AC52" s="51"/>
      <c r="AD52" s="51"/>
    </row>
    <row r="53" spans="1:30" x14ac:dyDescent="0.25">
      <c r="A53" s="51"/>
      <c r="B53" s="62"/>
      <c r="C53" s="59">
        <v>22</v>
      </c>
      <c r="D53" s="110">
        <v>324</v>
      </c>
      <c r="E53" s="152" t="str">
        <f>VLOOKUP(D53,Lookups!$D:$E,2,0)</f>
        <v>Signal Beam</v>
      </c>
      <c r="F53" s="153"/>
      <c r="G53" s="154"/>
      <c r="H53" s="113">
        <v>2</v>
      </c>
      <c r="I53" s="114">
        <v>2</v>
      </c>
      <c r="J53" s="115">
        <v>2</v>
      </c>
      <c r="K53" s="116">
        <v>2</v>
      </c>
      <c r="L53" s="124">
        <v>1</v>
      </c>
      <c r="M53" s="124"/>
      <c r="N53" s="117" t="str">
        <f t="shared" si="4"/>
        <v>30060</v>
      </c>
      <c r="O53" s="141" t="str">
        <f>IF(LEN(DEC2HEX($D53))=1,"0"&amp;DEC2HEX($D53)&amp;" 00",IF(LEN(DEC2HEX($D53))=2,DEC2HEX($D53)&amp;" 00",IF(LEN(DEC2HEX($D53))=3,RIGHT(DEC2HEX($D53),2)&amp;" 0"&amp;LEFT(DEC2HEX($D53),1),IF(LEN(DEC2HEX($D53))=4,RIGHT(DEC2HEX($D53),2)&amp;" "&amp;LEFT(DEC2HEX($D53),2),"Error - Move ID too high"))))&amp;" "&amp;IF(LEN(DEC2HEX(H53))=1,"0"&amp;DEC2HEX(H53),DEC2HEX(H53))&amp;" "&amp;IF(LEN(DEC2HEX(I53))=1,"0"&amp;DEC2HEX(I53),DEC2HEX(I53))&amp;" "&amp;IF(LEN(DEC2HEX(J53))=1,"0"&amp;DEC2HEX(J53),DEC2HEX(J53))&amp;" "&amp;IF(LEN(DEC2HEX(K53))=1,"0"&amp;DEC2HEX(K53),DEC2HEX(K53))&amp;" 00 00 "&amp;IF(LEN(DEC2HEX(L53))=1,"0"&amp;DEC2HEX(L53),DEC2HEX(L53))&amp;" 00 00 00"</f>
        <v>44 01 02 02 02 02 00 00 01 00 00 00</v>
      </c>
      <c r="P53" s="141"/>
      <c r="Q53" s="141"/>
      <c r="R53" s="141"/>
      <c r="S53" s="142"/>
      <c r="T53" s="76"/>
      <c r="U53" s="51"/>
      <c r="V53" s="51"/>
      <c r="W53" s="51"/>
      <c r="X53" s="51"/>
      <c r="Y53" s="51"/>
      <c r="Z53" s="51"/>
      <c r="AA53" s="51"/>
      <c r="AB53" s="51"/>
      <c r="AC53" s="51"/>
      <c r="AD53" s="51"/>
    </row>
    <row r="54" spans="1:30" x14ac:dyDescent="0.25">
      <c r="A54" s="51"/>
      <c r="B54" s="62"/>
      <c r="C54" s="59">
        <v>23</v>
      </c>
      <c r="D54" s="110">
        <v>428</v>
      </c>
      <c r="E54" s="152" t="str">
        <f>VLOOKUP(D54,Lookups!$D:$E,2,0)</f>
        <v>Zen Headbutt</v>
      </c>
      <c r="F54" s="153"/>
      <c r="G54" s="154"/>
      <c r="H54" s="113">
        <v>0</v>
      </c>
      <c r="I54" s="114">
        <v>4</v>
      </c>
      <c r="J54" s="115">
        <v>4</v>
      </c>
      <c r="K54" s="116">
        <v>0</v>
      </c>
      <c r="L54" s="124">
        <v>0</v>
      </c>
      <c r="M54" s="124"/>
      <c r="N54" s="117" t="str">
        <f t="shared" si="4"/>
        <v>3006C</v>
      </c>
      <c r="O54" s="141" t="str">
        <f t="shared" si="5"/>
        <v>AC 01 00 04 04 00 00 00 00 00 00 00</v>
      </c>
      <c r="P54" s="141"/>
      <c r="Q54" s="141"/>
      <c r="R54" s="141"/>
      <c r="S54" s="142"/>
      <c r="T54" s="76"/>
      <c r="U54" s="51"/>
      <c r="V54" s="51"/>
      <c r="W54" s="51"/>
      <c r="X54" s="51"/>
      <c r="Y54" s="51"/>
      <c r="Z54" s="51"/>
      <c r="AA54" s="51"/>
      <c r="AB54" s="51"/>
      <c r="AC54" s="51"/>
      <c r="AD54" s="51"/>
    </row>
    <row r="55" spans="1:30" x14ac:dyDescent="0.25">
      <c r="A55" s="51"/>
      <c r="B55" s="62"/>
      <c r="C55" s="59">
        <v>24</v>
      </c>
      <c r="D55" s="110">
        <v>410</v>
      </c>
      <c r="E55" s="152" t="str">
        <f>VLOOKUP(D55,Lookups!$D:$E,2,0)</f>
        <v>Vacuum Wave</v>
      </c>
      <c r="F55" s="153"/>
      <c r="G55" s="154"/>
      <c r="H55" s="113">
        <v>2</v>
      </c>
      <c r="I55" s="114">
        <v>4</v>
      </c>
      <c r="J55" s="115">
        <v>0</v>
      </c>
      <c r="K55" s="116">
        <v>2</v>
      </c>
      <c r="L55" s="124">
        <v>0</v>
      </c>
      <c r="M55" s="124"/>
      <c r="N55" s="117" t="str">
        <f t="shared" si="4"/>
        <v>30078</v>
      </c>
      <c r="O55" s="141" t="str">
        <f t="shared" si="5"/>
        <v>9A 01 02 04 00 02 00 00 00 00 00 00</v>
      </c>
      <c r="P55" s="141"/>
      <c r="Q55" s="141"/>
      <c r="R55" s="141"/>
      <c r="S55" s="142"/>
      <c r="T55" s="76"/>
      <c r="U55" s="51"/>
      <c r="V55" s="51"/>
      <c r="W55" s="51"/>
      <c r="X55" s="51"/>
      <c r="Y55" s="51"/>
      <c r="Z55" s="51"/>
      <c r="AA55" s="51"/>
      <c r="AB55" s="51"/>
      <c r="AC55" s="51"/>
      <c r="AD55" s="51"/>
    </row>
    <row r="56" spans="1:30" x14ac:dyDescent="0.25">
      <c r="A56" s="51"/>
      <c r="B56" s="62"/>
      <c r="C56" s="59">
        <v>25</v>
      </c>
      <c r="D56" s="110">
        <v>414</v>
      </c>
      <c r="E56" s="152" t="str">
        <f>VLOOKUP(D56,Lookups!$D:$E,2,0)</f>
        <v>Earth Power</v>
      </c>
      <c r="F56" s="153"/>
      <c r="G56" s="154"/>
      <c r="H56" s="113">
        <v>6</v>
      </c>
      <c r="I56" s="114">
        <v>0</v>
      </c>
      <c r="J56" s="115">
        <v>0</v>
      </c>
      <c r="K56" s="116">
        <v>2</v>
      </c>
      <c r="L56" s="124">
        <v>1</v>
      </c>
      <c r="M56" s="124"/>
      <c r="N56" s="117" t="str">
        <f t="shared" si="4"/>
        <v>30084</v>
      </c>
      <c r="O56" s="141" t="str">
        <f t="shared" si="5"/>
        <v>9E 01 06 00 00 02 00 00 01 00 00 00</v>
      </c>
      <c r="P56" s="141"/>
      <c r="Q56" s="141"/>
      <c r="R56" s="141"/>
      <c r="S56" s="142"/>
      <c r="T56" s="76"/>
      <c r="U56" s="51"/>
      <c r="V56" s="51"/>
      <c r="W56" s="51"/>
      <c r="X56" s="51"/>
      <c r="Y56" s="51"/>
      <c r="Z56" s="51"/>
      <c r="AA56" s="51"/>
      <c r="AB56" s="51"/>
      <c r="AC56" s="51"/>
      <c r="AD56" s="51"/>
    </row>
    <row r="57" spans="1:30" x14ac:dyDescent="0.25">
      <c r="A57" s="51"/>
      <c r="B57" s="62"/>
      <c r="C57" s="59">
        <v>26</v>
      </c>
      <c r="D57" s="110">
        <v>441</v>
      </c>
      <c r="E57" s="152" t="str">
        <f>VLOOKUP(D57,Lookups!$D:$E,2,0)</f>
        <v>Gunk Shot</v>
      </c>
      <c r="F57" s="153"/>
      <c r="G57" s="154"/>
      <c r="H57" s="113">
        <v>4</v>
      </c>
      <c r="I57" s="114">
        <v>2</v>
      </c>
      <c r="J57" s="115">
        <v>0</v>
      </c>
      <c r="K57" s="116">
        <v>2</v>
      </c>
      <c r="L57" s="124">
        <v>1</v>
      </c>
      <c r="M57" s="124"/>
      <c r="N57" s="117" t="str">
        <f t="shared" si="4"/>
        <v>30090</v>
      </c>
      <c r="O57" s="141" t="str">
        <f t="shared" si="5"/>
        <v>B9 01 04 02 00 02 00 00 01 00 00 00</v>
      </c>
      <c r="P57" s="141"/>
      <c r="Q57" s="141"/>
      <c r="R57" s="141"/>
      <c r="S57" s="142"/>
      <c r="T57" s="76"/>
      <c r="U57" s="51"/>
      <c r="V57" s="51"/>
      <c r="W57" s="51"/>
      <c r="X57" s="51"/>
      <c r="Y57" s="51"/>
      <c r="Z57" s="51"/>
      <c r="AA57" s="51"/>
      <c r="AB57" s="51"/>
      <c r="AC57" s="51"/>
      <c r="AD57" s="51"/>
    </row>
    <row r="58" spans="1:30" x14ac:dyDescent="0.25">
      <c r="A58" s="51"/>
      <c r="B58" s="62"/>
      <c r="C58" s="59">
        <v>27</v>
      </c>
      <c r="D58" s="110">
        <v>239</v>
      </c>
      <c r="E58" s="152" t="str">
        <f>VLOOKUP(D58,Lookups!$D:$E,2,0)</f>
        <v>Twister</v>
      </c>
      <c r="F58" s="153"/>
      <c r="G58" s="154"/>
      <c r="H58" s="113">
        <v>6</v>
      </c>
      <c r="I58" s="114">
        <v>0</v>
      </c>
      <c r="J58" s="115">
        <v>0</v>
      </c>
      <c r="K58" s="116">
        <v>2</v>
      </c>
      <c r="L58" s="124">
        <v>1</v>
      </c>
      <c r="M58" s="124"/>
      <c r="N58" s="117" t="str">
        <f t="shared" si="4"/>
        <v>3009C</v>
      </c>
      <c r="O58" s="141" t="str">
        <f t="shared" si="5"/>
        <v>EF 00 06 00 00 02 00 00 01 00 00 00</v>
      </c>
      <c r="P58" s="141"/>
      <c r="Q58" s="141"/>
      <c r="R58" s="141"/>
      <c r="S58" s="142"/>
      <c r="T58" s="76"/>
      <c r="U58" s="51"/>
      <c r="V58" s="51"/>
      <c r="W58" s="51"/>
      <c r="X58" s="51"/>
      <c r="Y58" s="51"/>
      <c r="Z58" s="51"/>
      <c r="AA58" s="51"/>
      <c r="AB58" s="51"/>
      <c r="AC58" s="51"/>
      <c r="AD58" s="51"/>
    </row>
    <row r="59" spans="1:30" x14ac:dyDescent="0.25">
      <c r="A59" s="51"/>
      <c r="B59" s="62"/>
      <c r="C59" s="59">
        <v>28</v>
      </c>
      <c r="D59" s="110">
        <v>402</v>
      </c>
      <c r="E59" s="152" t="str">
        <f>VLOOKUP(D59,Lookups!$D:$E,2,0)</f>
        <v>Seed Bomb</v>
      </c>
      <c r="F59" s="153"/>
      <c r="G59" s="154"/>
      <c r="H59" s="113">
        <v>4</v>
      </c>
      <c r="I59" s="114">
        <v>0</v>
      </c>
      <c r="J59" s="115">
        <v>0</v>
      </c>
      <c r="K59" s="116">
        <v>4</v>
      </c>
      <c r="L59" s="124">
        <v>1</v>
      </c>
      <c r="M59" s="124"/>
      <c r="N59" s="117" t="str">
        <f t="shared" si="4"/>
        <v>300A8</v>
      </c>
      <c r="O59" s="141" t="str">
        <f t="shared" si="5"/>
        <v>92 01 04 00 00 04 00 00 01 00 00 00</v>
      </c>
      <c r="P59" s="141"/>
      <c r="Q59" s="141"/>
      <c r="R59" s="141"/>
      <c r="S59" s="142"/>
      <c r="T59" s="76"/>
      <c r="U59" s="51"/>
      <c r="V59" s="51"/>
      <c r="W59" s="51"/>
      <c r="X59" s="51"/>
      <c r="Y59" s="51"/>
      <c r="Z59" s="51"/>
      <c r="AA59" s="51"/>
      <c r="AB59" s="51"/>
      <c r="AC59" s="51"/>
      <c r="AD59" s="51"/>
    </row>
    <row r="60" spans="1:30" x14ac:dyDescent="0.25">
      <c r="A60" s="51"/>
      <c r="B60" s="62"/>
      <c r="C60" s="59">
        <v>29</v>
      </c>
      <c r="D60" s="110">
        <v>334</v>
      </c>
      <c r="E60" s="152" t="str">
        <f>VLOOKUP(D60,Lookups!$D:$E,2,0)</f>
        <v>Iron Defense</v>
      </c>
      <c r="F60" s="153"/>
      <c r="G60" s="154"/>
      <c r="H60" s="113">
        <v>4</v>
      </c>
      <c r="I60" s="114">
        <v>2</v>
      </c>
      <c r="J60" s="115">
        <v>2</v>
      </c>
      <c r="K60" s="116">
        <v>0</v>
      </c>
      <c r="L60" s="124">
        <v>1</v>
      </c>
      <c r="M60" s="124"/>
      <c r="N60" s="117" t="str">
        <f t="shared" si="4"/>
        <v>300B4</v>
      </c>
      <c r="O60" s="141" t="str">
        <f t="shared" si="5"/>
        <v>4E 01 04 02 02 00 00 00 01 00 00 00</v>
      </c>
      <c r="P60" s="141"/>
      <c r="Q60" s="141"/>
      <c r="R60" s="141"/>
      <c r="S60" s="142"/>
      <c r="T60" s="76"/>
      <c r="U60" s="51"/>
      <c r="V60" s="51"/>
      <c r="W60" s="51"/>
      <c r="X60" s="51"/>
      <c r="Y60" s="51"/>
      <c r="Z60" s="51"/>
      <c r="AA60" s="51"/>
      <c r="AB60" s="51"/>
      <c r="AC60" s="51"/>
      <c r="AD60" s="51"/>
    </row>
    <row r="61" spans="1:30" x14ac:dyDescent="0.25">
      <c r="A61" s="51"/>
      <c r="B61" s="62"/>
      <c r="C61" s="59">
        <v>30</v>
      </c>
      <c r="D61" s="110">
        <v>393</v>
      </c>
      <c r="E61" s="152" t="str">
        <f>VLOOKUP(D61,Lookups!$D:$E,2,0)</f>
        <v>Magnet Rise</v>
      </c>
      <c r="F61" s="153"/>
      <c r="G61" s="154"/>
      <c r="H61" s="113">
        <v>0</v>
      </c>
      <c r="I61" s="114">
        <v>2</v>
      </c>
      <c r="J61" s="115">
        <v>4</v>
      </c>
      <c r="K61" s="116">
        <v>2</v>
      </c>
      <c r="L61" s="124">
        <v>2</v>
      </c>
      <c r="M61" s="124"/>
      <c r="N61" s="117" t="str">
        <f t="shared" si="4"/>
        <v>300C0</v>
      </c>
      <c r="O61" s="141" t="str">
        <f t="shared" si="5"/>
        <v>89 01 00 02 04 02 00 00 02 00 00 00</v>
      </c>
      <c r="P61" s="141"/>
      <c r="Q61" s="141"/>
      <c r="R61" s="141"/>
      <c r="S61" s="142"/>
      <c r="T61" s="76"/>
      <c r="U61" s="51"/>
      <c r="V61" s="51"/>
      <c r="W61" s="51"/>
      <c r="X61" s="51"/>
      <c r="Y61" s="51"/>
      <c r="Z61" s="51"/>
      <c r="AA61" s="51"/>
      <c r="AB61" s="51"/>
      <c r="AC61" s="51"/>
      <c r="AD61" s="51"/>
    </row>
    <row r="62" spans="1:30" x14ac:dyDescent="0.25">
      <c r="A62" s="51"/>
      <c r="B62" s="62"/>
      <c r="C62" s="59">
        <v>31</v>
      </c>
      <c r="D62" s="110">
        <v>387</v>
      </c>
      <c r="E62" s="152" t="str">
        <f>VLOOKUP(D62,Lookups!$D:$E,2,0)</f>
        <v>Last Resort</v>
      </c>
      <c r="F62" s="153"/>
      <c r="G62" s="154"/>
      <c r="H62" s="113">
        <v>0</v>
      </c>
      <c r="I62" s="114">
        <v>0</v>
      </c>
      <c r="J62" s="115">
        <v>0</v>
      </c>
      <c r="K62" s="116">
        <v>8</v>
      </c>
      <c r="L62" s="124">
        <v>2</v>
      </c>
      <c r="M62" s="124"/>
      <c r="N62" s="117" t="str">
        <f t="shared" si="4"/>
        <v>300CC</v>
      </c>
      <c r="O62" s="141" t="str">
        <f t="shared" si="5"/>
        <v>83 01 00 00 00 08 00 00 02 00 00 00</v>
      </c>
      <c r="P62" s="141"/>
      <c r="Q62" s="141"/>
      <c r="R62" s="141"/>
      <c r="S62" s="142"/>
      <c r="T62" s="76"/>
      <c r="U62" s="51"/>
      <c r="V62" s="51"/>
      <c r="W62" s="51"/>
      <c r="X62" s="51"/>
      <c r="Y62" s="51"/>
      <c r="Z62" s="51"/>
      <c r="AA62" s="51"/>
      <c r="AB62" s="51"/>
      <c r="AC62" s="51"/>
      <c r="AD62" s="51"/>
    </row>
    <row r="63" spans="1:30" x14ac:dyDescent="0.25">
      <c r="A63" s="51"/>
      <c r="B63" s="62"/>
      <c r="C63" s="59">
        <v>32</v>
      </c>
      <c r="D63" s="110">
        <v>340</v>
      </c>
      <c r="E63" s="152" t="str">
        <f>VLOOKUP(D63,Lookups!$D:$E,2,0)</f>
        <v>Bounce</v>
      </c>
      <c r="F63" s="153"/>
      <c r="G63" s="154"/>
      <c r="H63" s="113">
        <v>4</v>
      </c>
      <c r="I63" s="114">
        <v>0</v>
      </c>
      <c r="J63" s="115">
        <v>2</v>
      </c>
      <c r="K63" s="116">
        <v>2</v>
      </c>
      <c r="L63" s="124">
        <v>1</v>
      </c>
      <c r="M63" s="124"/>
      <c r="N63" s="117" t="str">
        <f t="shared" si="4"/>
        <v>300D8</v>
      </c>
      <c r="O63" s="141" t="str">
        <f t="shared" si="5"/>
        <v>54 01 04 00 02 02 00 00 01 00 00 00</v>
      </c>
      <c r="P63" s="141"/>
      <c r="Q63" s="141"/>
      <c r="R63" s="141"/>
      <c r="S63" s="142"/>
      <c r="T63" s="76"/>
      <c r="U63" s="51"/>
      <c r="V63" s="51"/>
      <c r="W63" s="51"/>
      <c r="X63" s="51"/>
      <c r="Y63" s="51"/>
      <c r="Z63" s="51"/>
      <c r="AA63" s="51"/>
      <c r="AB63" s="51"/>
      <c r="AC63" s="51"/>
      <c r="AD63" s="51"/>
    </row>
    <row r="64" spans="1:30" x14ac:dyDescent="0.25">
      <c r="A64" s="51"/>
      <c r="B64" s="62"/>
      <c r="C64" s="59">
        <v>33</v>
      </c>
      <c r="D64" s="110">
        <v>271</v>
      </c>
      <c r="E64" s="152" t="str">
        <f>VLOOKUP(D64,Lookups!$D:$E,2,0)</f>
        <v>Trick</v>
      </c>
      <c r="F64" s="153"/>
      <c r="G64" s="154"/>
      <c r="H64" s="113">
        <v>0</v>
      </c>
      <c r="I64" s="114">
        <v>4</v>
      </c>
      <c r="J64" s="115">
        <v>4</v>
      </c>
      <c r="K64" s="116">
        <v>0</v>
      </c>
      <c r="L64" s="124">
        <v>0</v>
      </c>
      <c r="M64" s="124"/>
      <c r="N64" s="117" t="str">
        <f t="shared" si="4"/>
        <v>300E4</v>
      </c>
      <c r="O64" s="141" t="str">
        <f t="shared" si="5"/>
        <v>0F 01 00 04 04 00 00 00 00 00 00 00</v>
      </c>
      <c r="P64" s="141"/>
      <c r="Q64" s="141"/>
      <c r="R64" s="141"/>
      <c r="S64" s="142"/>
      <c r="T64" s="76"/>
      <c r="U64" s="51"/>
      <c r="V64" s="51"/>
      <c r="W64" s="51"/>
      <c r="X64" s="51"/>
      <c r="Y64" s="51"/>
      <c r="Z64" s="51"/>
      <c r="AA64" s="51"/>
      <c r="AB64" s="51"/>
      <c r="AC64" s="51"/>
      <c r="AD64" s="51"/>
    </row>
    <row r="65" spans="1:30" x14ac:dyDescent="0.25">
      <c r="A65" s="51"/>
      <c r="B65" s="62"/>
      <c r="C65" s="59">
        <v>34</v>
      </c>
      <c r="D65" s="110">
        <v>257</v>
      </c>
      <c r="E65" s="152" t="str">
        <f>VLOOKUP(D65,Lookups!$D:$E,2,0)</f>
        <v>Heat Wave</v>
      </c>
      <c r="F65" s="153"/>
      <c r="G65" s="154"/>
      <c r="H65" s="113">
        <v>4</v>
      </c>
      <c r="I65" s="114">
        <v>2</v>
      </c>
      <c r="J65" s="115">
        <v>0</v>
      </c>
      <c r="K65" s="116">
        <v>2</v>
      </c>
      <c r="L65" s="124">
        <v>1</v>
      </c>
      <c r="M65" s="124"/>
      <c r="N65" s="117" t="str">
        <f t="shared" si="4"/>
        <v>300F0</v>
      </c>
      <c r="O65" s="141" t="str">
        <f t="shared" si="5"/>
        <v>01 01 04 02 00 02 00 00 01 00 00 00</v>
      </c>
      <c r="P65" s="141"/>
      <c r="Q65" s="141"/>
      <c r="R65" s="141"/>
      <c r="S65" s="142"/>
      <c r="T65" s="76"/>
      <c r="U65" s="51"/>
      <c r="V65" s="51"/>
      <c r="W65" s="51"/>
      <c r="X65" s="51"/>
      <c r="Y65" s="51"/>
      <c r="Z65" s="51"/>
      <c r="AA65" s="51"/>
      <c r="AB65" s="51"/>
      <c r="AC65" s="51"/>
      <c r="AD65" s="51"/>
    </row>
    <row r="66" spans="1:30" x14ac:dyDescent="0.25">
      <c r="A66" s="51"/>
      <c r="B66" s="62"/>
      <c r="C66" s="59">
        <v>35</v>
      </c>
      <c r="D66" s="110">
        <v>282</v>
      </c>
      <c r="E66" s="152" t="str">
        <f>VLOOKUP(D66,Lookups!$D:$E,2,0)</f>
        <v>Knock Off</v>
      </c>
      <c r="F66" s="153"/>
      <c r="G66" s="154"/>
      <c r="H66" s="113">
        <v>4</v>
      </c>
      <c r="I66" s="114">
        <v>4</v>
      </c>
      <c r="J66" s="115">
        <v>0</v>
      </c>
      <c r="K66" s="116">
        <v>0</v>
      </c>
      <c r="L66" s="124">
        <v>0</v>
      </c>
      <c r="M66" s="124"/>
      <c r="N66" s="117" t="str">
        <f t="shared" si="4"/>
        <v>300FC</v>
      </c>
      <c r="O66" s="141" t="str">
        <f t="shared" si="5"/>
        <v>1A 01 04 04 00 00 00 00 00 00 00 00</v>
      </c>
      <c r="P66" s="141"/>
      <c r="Q66" s="141"/>
      <c r="R66" s="141"/>
      <c r="S66" s="142"/>
      <c r="T66" s="76"/>
      <c r="U66" s="51"/>
      <c r="V66" s="51"/>
      <c r="W66" s="51"/>
      <c r="X66" s="51"/>
      <c r="Y66" s="51"/>
      <c r="Z66" s="51"/>
      <c r="AA66" s="51"/>
      <c r="AB66" s="51"/>
      <c r="AC66" s="51"/>
      <c r="AD66" s="51"/>
    </row>
    <row r="67" spans="1:30" x14ac:dyDescent="0.25">
      <c r="A67" s="51"/>
      <c r="B67" s="62"/>
      <c r="C67" s="59">
        <v>36</v>
      </c>
      <c r="D67" s="110">
        <v>389</v>
      </c>
      <c r="E67" s="152" t="str">
        <f>VLOOKUP(D67,Lookups!$D:$E,2,0)</f>
        <v>Sucker Punch</v>
      </c>
      <c r="F67" s="153"/>
      <c r="G67" s="154"/>
      <c r="H67" s="113">
        <v>0</v>
      </c>
      <c r="I67" s="114">
        <v>6</v>
      </c>
      <c r="J67" s="115">
        <v>2</v>
      </c>
      <c r="K67" s="116">
        <v>0</v>
      </c>
      <c r="L67" s="124">
        <v>0</v>
      </c>
      <c r="M67" s="124"/>
      <c r="N67" s="117" t="str">
        <f t="shared" si="4"/>
        <v>30108</v>
      </c>
      <c r="O67" s="141" t="str">
        <f t="shared" si="5"/>
        <v>85 01 00 06 02 00 00 00 00 00 00 00</v>
      </c>
      <c r="P67" s="141"/>
      <c r="Q67" s="141"/>
      <c r="R67" s="141"/>
      <c r="S67" s="142"/>
      <c r="T67" s="76"/>
      <c r="U67" s="51"/>
      <c r="V67" s="51"/>
      <c r="W67" s="51"/>
      <c r="X67" s="51"/>
      <c r="Y67" s="51"/>
      <c r="Z67" s="51"/>
      <c r="AA67" s="51"/>
      <c r="AB67" s="51"/>
      <c r="AC67" s="51"/>
      <c r="AD67" s="51"/>
    </row>
    <row r="68" spans="1:30" x14ac:dyDescent="0.25">
      <c r="A68" s="51"/>
      <c r="B68" s="62"/>
      <c r="C68" s="59">
        <v>37</v>
      </c>
      <c r="D68" s="110">
        <v>129</v>
      </c>
      <c r="E68" s="152" t="str">
        <f>VLOOKUP(D68,Lookups!$D:$E,2,0)</f>
        <v>Swift</v>
      </c>
      <c r="F68" s="153"/>
      <c r="G68" s="154"/>
      <c r="H68" s="113">
        <v>0</v>
      </c>
      <c r="I68" s="114">
        <v>2</v>
      </c>
      <c r="J68" s="115">
        <v>2</v>
      </c>
      <c r="K68" s="116">
        <v>4</v>
      </c>
      <c r="L68" s="124">
        <v>2</v>
      </c>
      <c r="M68" s="124"/>
      <c r="N68" s="117" t="str">
        <f t="shared" si="4"/>
        <v>30114</v>
      </c>
      <c r="O68" s="141" t="str">
        <f t="shared" si="5"/>
        <v>81 00 00 02 02 04 00 00 02 00 00 00</v>
      </c>
      <c r="P68" s="141"/>
      <c r="Q68" s="141"/>
      <c r="R68" s="141"/>
      <c r="S68" s="142"/>
      <c r="T68" s="76"/>
      <c r="U68" s="51"/>
      <c r="V68" s="51"/>
      <c r="W68" s="51"/>
      <c r="X68" s="51"/>
      <c r="Y68" s="51"/>
      <c r="Z68" s="51"/>
      <c r="AA68" s="51"/>
      <c r="AB68" s="51"/>
      <c r="AC68" s="51"/>
      <c r="AD68" s="51"/>
    </row>
    <row r="69" spans="1:30" ht="15.75" thickBot="1" x14ac:dyDescent="0.3">
      <c r="A69" s="51"/>
      <c r="B69" s="62"/>
      <c r="C69" s="60">
        <v>38</v>
      </c>
      <c r="D69" s="111">
        <v>253</v>
      </c>
      <c r="E69" s="171" t="str">
        <f>VLOOKUP(D69,Lookups!$D:$E,2,0)</f>
        <v>Uproar</v>
      </c>
      <c r="F69" s="172"/>
      <c r="G69" s="173"/>
      <c r="H69" s="118">
        <v>0</v>
      </c>
      <c r="I69" s="119">
        <v>0</v>
      </c>
      <c r="J69" s="120">
        <v>6</v>
      </c>
      <c r="K69" s="121">
        <v>2</v>
      </c>
      <c r="L69" s="145">
        <v>2</v>
      </c>
      <c r="M69" s="145"/>
      <c r="N69" s="122" t="str">
        <f t="shared" si="4"/>
        <v>30120</v>
      </c>
      <c r="O69" s="143" t="str">
        <f t="shared" si="5"/>
        <v>FD 00 00 00 06 02 00 00 02 00 00 00</v>
      </c>
      <c r="P69" s="143"/>
      <c r="Q69" s="143"/>
      <c r="R69" s="143"/>
      <c r="S69" s="144"/>
      <c r="T69" s="76"/>
      <c r="U69" s="51"/>
      <c r="V69" s="51"/>
      <c r="W69" s="51"/>
      <c r="X69" s="51"/>
      <c r="Y69" s="51"/>
      <c r="Z69" s="51"/>
      <c r="AA69" s="51"/>
      <c r="AB69" s="51"/>
      <c r="AC69" s="51"/>
      <c r="AD69" s="51"/>
    </row>
    <row r="70" spans="1:30" x14ac:dyDescent="0.25">
      <c r="A70" s="51"/>
      <c r="B70" s="62"/>
      <c r="C70" s="23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80"/>
      <c r="Q70" s="23"/>
      <c r="R70" s="80"/>
      <c r="S70" s="80"/>
      <c r="T70" s="76"/>
      <c r="U70" s="51"/>
      <c r="V70" s="51"/>
      <c r="W70" s="51"/>
      <c r="X70" s="51"/>
      <c r="Y70" s="51"/>
      <c r="Z70" s="51"/>
      <c r="AA70" s="51"/>
      <c r="AB70" s="51"/>
      <c r="AC70" s="51"/>
      <c r="AD70" s="51"/>
    </row>
    <row r="71" spans="1:30" x14ac:dyDescent="0.25">
      <c r="A71" s="51"/>
      <c r="B71" s="62"/>
      <c r="C71" s="148" t="s">
        <v>992</v>
      </c>
      <c r="D71" s="148"/>
      <c r="E71" s="148"/>
      <c r="F71" s="148"/>
      <c r="G71" s="148"/>
      <c r="H71" s="148"/>
      <c r="I71" s="148"/>
      <c r="J71" s="148"/>
      <c r="K71" s="148"/>
      <c r="L71" s="148"/>
      <c r="M71" s="24"/>
      <c r="N71" s="81" t="s">
        <v>1</v>
      </c>
      <c r="O71" s="24"/>
      <c r="P71" s="80"/>
      <c r="Q71" s="23"/>
      <c r="R71" s="80"/>
      <c r="S71" s="80"/>
      <c r="T71" s="76"/>
      <c r="U71" s="51"/>
      <c r="V71" s="51"/>
      <c r="W71" s="51"/>
      <c r="X71" s="51"/>
      <c r="Y71" s="51"/>
      <c r="Z71" s="51"/>
      <c r="AA71" s="51"/>
      <c r="AB71" s="51"/>
      <c r="AC71" s="51"/>
      <c r="AD71" s="51"/>
    </row>
    <row r="72" spans="1:30" x14ac:dyDescent="0.25">
      <c r="A72" s="51"/>
      <c r="B72" s="62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24"/>
      <c r="N72" s="117" t="str">
        <f>N32</f>
        <v>2FF64</v>
      </c>
      <c r="O72" s="24"/>
      <c r="P72" s="80"/>
      <c r="Q72" s="23"/>
      <c r="R72" s="80"/>
      <c r="S72" s="80"/>
      <c r="T72" s="76"/>
      <c r="U72" s="51"/>
      <c r="V72" s="51"/>
      <c r="W72" s="51"/>
      <c r="X72" s="51"/>
      <c r="Y72" s="51"/>
      <c r="Z72" s="51"/>
      <c r="AA72" s="51"/>
      <c r="AB72" s="51"/>
      <c r="AC72" s="51"/>
      <c r="AD72" s="51"/>
    </row>
    <row r="73" spans="1:30" x14ac:dyDescent="0.25">
      <c r="A73" s="51"/>
      <c r="B73" s="62"/>
      <c r="C73" s="23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80"/>
      <c r="O73" s="24"/>
      <c r="P73" s="80"/>
      <c r="Q73" s="23"/>
      <c r="R73" s="80"/>
      <c r="S73" s="80"/>
      <c r="T73" s="76"/>
      <c r="U73" s="51"/>
      <c r="V73" s="51"/>
      <c r="W73" s="51"/>
      <c r="X73" s="51"/>
      <c r="Y73" s="51"/>
      <c r="Z73" s="51"/>
      <c r="AA73" s="51"/>
      <c r="AB73" s="51"/>
      <c r="AC73" s="51"/>
      <c r="AD73" s="51"/>
    </row>
    <row r="74" spans="1:30" x14ac:dyDescent="0.25">
      <c r="A74" s="51"/>
      <c r="B74" s="62"/>
      <c r="C74" s="170" t="s">
        <v>991</v>
      </c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76"/>
      <c r="U74" s="51"/>
      <c r="V74" s="51"/>
      <c r="W74" s="51"/>
      <c r="X74" s="51"/>
      <c r="Y74" s="51"/>
      <c r="Z74" s="51"/>
      <c r="AA74" s="51"/>
      <c r="AB74" s="51"/>
      <c r="AC74" s="51"/>
      <c r="AD74" s="51"/>
    </row>
    <row r="75" spans="1:30" ht="159" customHeight="1" x14ac:dyDescent="0.25">
      <c r="A75" s="51"/>
      <c r="B75" s="62"/>
      <c r="C75" s="146" t="str">
        <f>O32&amp;" "&amp;O33&amp;" "&amp;O34&amp;" "&amp;O35&amp;" "&amp;O36&amp;" "&amp;O37&amp;" "&amp;O38&amp;" "&amp;O39&amp;" "&amp;O40&amp;" "&amp;O41&amp;" "&amp;O42&amp;" "&amp;O43&amp;" "&amp;O44&amp;" "&amp;O45&amp;" "&amp;O46&amp;" "&amp;O47&amp;" "&amp;O48&amp;" "&amp;O49&amp;" "&amp;O50&amp;" "&amp;O51&amp;" "&amp;O52&amp;" "&amp;O53&amp;" "&amp;O54&amp;" "&amp;O55&amp;" "&amp;O56&amp;" "&amp;O57&amp;" "&amp;O58&amp;" "&amp;O59&amp;" "&amp;O60&amp;" "&amp;O61&amp;" "&amp;O62&amp;" "&amp;O63&amp;" "&amp;O64&amp;" "&amp;O65&amp;" "&amp;O66&amp;" "&amp;O67&amp;" "&amp;O68&amp;" "&amp;O69</f>
        <v>23 01 02 04 02 00 00 00 00 00 00 00 BD 00 04 04 00 00 00 00 01 00 00 00 D2 00 00 08 00 00 00 00 00 00 00 00 C4 00 00 06 00 02 00 00 00 00 00 00 CD 00 04 02 00 02 00 00 01 00 00 00 09 00 02 06 00 00 00 00 00 00 00 00 07 00 02 06 00 00 00 00 00 00 00 00 14 01 08 00 00 00 00 00 01 00 00 00 08 00 02 06 00 00 00 00 00 00 00 00 BA 01 06 00 02 00 00 00 01 00 00 00 91 01 06 00 00 02 00 00 01 00 00 00 D2 01 00 06 00 02 00 00 00 00 00 00 7C 01 04 00 02 02 00 00 01 00 00 00 AD 00 02 00 04 02 00 00 02 00 00 00 B4 00 00 00 08 00 00 00 02 00 00 00 3A 01 02 04 00 02 00 00 00 00 00 00 0E 01 02 00 04 02 00 00 02 00 00 00 1B 01 04 00 04 00 00 00 01 00 00 00 C8 00 06 00 02 00 00 00 01 00 00 00 F6 00 06 00 00 02 00 00 01 00 00 00 EB 00 00 00 02 06 00 00 02 00 00 00 44 01 02 02 02 02 00 00 01 00 00 00 AC 01 00 04 04 00 00 00 00 00 00 00 9A 01 02 04 00 02 00 00 00 00 00 00 9E 01 06 00 00 02 00 00 01 00 00 00 B9 01 04 02 00 02 00 00 01 00 00 00 EF 00 06 00 00 02 00 00 01 00 00 00 92 01 04 00 00 04 00 00 01 00 00 00 4E 01 04 02 02 00 00 00 01 00 00 00 89 01 00 02 04 02 00 00 02 00 00 00 83 01 00 00 00 08 00 00 02 00 00 00 54 01 04 00 02 02 00 00 01 00 00 00 0F 01 00 04 04 00 00 00 00 00 00 00 01 01 04 02 00 02 00 00 01 00 00 00 1A 01 04 04 00 00 00 00 00 00 00 00 85 01 00 06 02 00 00 00 00 00 00 00 81 00 00 02 02 04 00 00 02 00 00 00 FD 00 00 00 06 02 00 00 02 00 00 00</v>
      </c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76"/>
      <c r="U75" s="51"/>
      <c r="V75" s="51"/>
      <c r="W75" s="51"/>
      <c r="X75" s="51"/>
      <c r="Y75" s="51"/>
      <c r="Z75" s="51"/>
      <c r="AA75" s="51"/>
      <c r="AB75" s="51"/>
      <c r="AC75" s="51"/>
      <c r="AD75" s="51"/>
    </row>
    <row r="76" spans="1:30" ht="15.75" thickBot="1" x14ac:dyDescent="0.3">
      <c r="A76" s="51"/>
      <c r="B76" s="78"/>
      <c r="C76" s="34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79"/>
      <c r="Q76" s="34"/>
      <c r="R76" s="79"/>
      <c r="S76" s="79"/>
      <c r="T76" s="77"/>
      <c r="U76" s="51"/>
      <c r="V76" s="51"/>
      <c r="W76" s="51"/>
      <c r="X76" s="51"/>
      <c r="Y76" s="51"/>
      <c r="Z76" s="51"/>
      <c r="AA76" s="51"/>
      <c r="AB76" s="51"/>
      <c r="AC76" s="51"/>
      <c r="AD76" s="51"/>
    </row>
    <row r="77" spans="1:30" x14ac:dyDescent="0.25">
      <c r="A77" s="51"/>
      <c r="B77" s="51"/>
      <c r="D77" s="51"/>
      <c r="E77" s="51"/>
      <c r="F77" s="52"/>
      <c r="H77" s="51"/>
      <c r="I77" s="51"/>
      <c r="J77" s="51"/>
      <c r="K77" s="51"/>
      <c r="L77" s="52"/>
      <c r="N77" s="51"/>
      <c r="O77" s="51"/>
      <c r="P77" s="52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</row>
  </sheetData>
  <sheetProtection algorithmName="SHA-512" hashValue="dFRp7SbgY4kzXvX2NxWtx//ij6O7zbedi2vPHZGrJSCvJstwZnE+ULW6ULLMv5VTD6WQbfok6jhMQbBvAN0Hbg==" saltValue="T/zzRERB2vBl/CAfvMSM2A==" spinCount="100000" sheet="1" objects="1" scenarios="1" selectLockedCells="1"/>
  <mergeCells count="147">
    <mergeCell ref="H24:J24"/>
    <mergeCell ref="H6:J6"/>
    <mergeCell ref="H30:K30"/>
    <mergeCell ref="H18:J18"/>
    <mergeCell ref="H19:J19"/>
    <mergeCell ref="H20:J20"/>
    <mergeCell ref="H21:J21"/>
    <mergeCell ref="H22:J22"/>
    <mergeCell ref="H23:J23"/>
    <mergeCell ref="H12:J12"/>
    <mergeCell ref="H13:J13"/>
    <mergeCell ref="H14:J14"/>
    <mergeCell ref="H15:J15"/>
    <mergeCell ref="H16:J16"/>
    <mergeCell ref="H17:J17"/>
    <mergeCell ref="H8:J8"/>
    <mergeCell ref="H9:J9"/>
    <mergeCell ref="E33:G33"/>
    <mergeCell ref="E34:G34"/>
    <mergeCell ref="E35:G35"/>
    <mergeCell ref="E36:G36"/>
    <mergeCell ref="E62:G62"/>
    <mergeCell ref="E63:G63"/>
    <mergeCell ref="E64:G64"/>
    <mergeCell ref="E44:G44"/>
    <mergeCell ref="E45:G45"/>
    <mergeCell ref="E46:G46"/>
    <mergeCell ref="E47:G47"/>
    <mergeCell ref="E38:G38"/>
    <mergeCell ref="E39:G39"/>
    <mergeCell ref="E40:G40"/>
    <mergeCell ref="E41:G41"/>
    <mergeCell ref="E48:G48"/>
    <mergeCell ref="E49:G49"/>
    <mergeCell ref="E42:G42"/>
    <mergeCell ref="E43:G43"/>
    <mergeCell ref="E37:G37"/>
    <mergeCell ref="C71:L72"/>
    <mergeCell ref="C74:S74"/>
    <mergeCell ref="C75:S75"/>
    <mergeCell ref="E65:G65"/>
    <mergeCell ref="E56:G56"/>
    <mergeCell ref="E57:G57"/>
    <mergeCell ref="E58:G58"/>
    <mergeCell ref="E59:G59"/>
    <mergeCell ref="E50:G50"/>
    <mergeCell ref="E51:G51"/>
    <mergeCell ref="E52:G52"/>
    <mergeCell ref="E53:G53"/>
    <mergeCell ref="E60:G60"/>
    <mergeCell ref="E61:G61"/>
    <mergeCell ref="E54:G54"/>
    <mergeCell ref="E55:G55"/>
    <mergeCell ref="L68:M68"/>
    <mergeCell ref="O68:S68"/>
    <mergeCell ref="L69:M69"/>
    <mergeCell ref="O69:S69"/>
    <mergeCell ref="E68:G68"/>
    <mergeCell ref="E69:G69"/>
    <mergeCell ref="L66:M66"/>
    <mergeCell ref="O66:S66"/>
    <mergeCell ref="L67:M67"/>
    <mergeCell ref="O67:S67"/>
    <mergeCell ref="E66:G66"/>
    <mergeCell ref="E67:G67"/>
    <mergeCell ref="L64:M64"/>
    <mergeCell ref="O64:S64"/>
    <mergeCell ref="L65:M65"/>
    <mergeCell ref="O65:S65"/>
    <mergeCell ref="L62:M62"/>
    <mergeCell ref="O62:S62"/>
    <mergeCell ref="L63:M63"/>
    <mergeCell ref="O63:S63"/>
    <mergeCell ref="L60:M60"/>
    <mergeCell ref="O60:S60"/>
    <mergeCell ref="L61:M61"/>
    <mergeCell ref="O61:S61"/>
    <mergeCell ref="L58:M58"/>
    <mergeCell ref="O58:S58"/>
    <mergeCell ref="L59:M59"/>
    <mergeCell ref="O59:S59"/>
    <mergeCell ref="L56:M56"/>
    <mergeCell ref="O56:S56"/>
    <mergeCell ref="L57:M57"/>
    <mergeCell ref="O57:S57"/>
    <mergeCell ref="L54:M54"/>
    <mergeCell ref="O54:S54"/>
    <mergeCell ref="L55:M55"/>
    <mergeCell ref="O55:S55"/>
    <mergeCell ref="L52:M52"/>
    <mergeCell ref="O52:S52"/>
    <mergeCell ref="L53:M53"/>
    <mergeCell ref="O53:S53"/>
    <mergeCell ref="L50:M50"/>
    <mergeCell ref="O50:S50"/>
    <mergeCell ref="L51:M51"/>
    <mergeCell ref="O51:S51"/>
    <mergeCell ref="L48:M48"/>
    <mergeCell ref="O48:S48"/>
    <mergeCell ref="L49:M49"/>
    <mergeCell ref="O49:S49"/>
    <mergeCell ref="L46:M46"/>
    <mergeCell ref="O46:S46"/>
    <mergeCell ref="L47:M47"/>
    <mergeCell ref="O47:S47"/>
    <mergeCell ref="L44:M44"/>
    <mergeCell ref="O44:S44"/>
    <mergeCell ref="L45:M45"/>
    <mergeCell ref="O45:S45"/>
    <mergeCell ref="L31:M31"/>
    <mergeCell ref="O31:S31"/>
    <mergeCell ref="L42:M42"/>
    <mergeCell ref="O42:S42"/>
    <mergeCell ref="L43:M43"/>
    <mergeCell ref="O43:S43"/>
    <mergeCell ref="L40:M40"/>
    <mergeCell ref="O40:S40"/>
    <mergeCell ref="L41:M41"/>
    <mergeCell ref="O41:S41"/>
    <mergeCell ref="L38:M38"/>
    <mergeCell ref="O38:S38"/>
    <mergeCell ref="L39:M39"/>
    <mergeCell ref="O39:S39"/>
    <mergeCell ref="E31:G31"/>
    <mergeCell ref="E32:G32"/>
    <mergeCell ref="L36:M36"/>
    <mergeCell ref="O36:S36"/>
    <mergeCell ref="L37:M37"/>
    <mergeCell ref="O37:S37"/>
    <mergeCell ref="B2:K3"/>
    <mergeCell ref="L2:L3"/>
    <mergeCell ref="M2:T3"/>
    <mergeCell ref="H10:J10"/>
    <mergeCell ref="H11:J11"/>
    <mergeCell ref="L34:M34"/>
    <mergeCell ref="O34:S34"/>
    <mergeCell ref="L35:M35"/>
    <mergeCell ref="O35:S35"/>
    <mergeCell ref="L32:M32"/>
    <mergeCell ref="O32:S32"/>
    <mergeCell ref="L33:M33"/>
    <mergeCell ref="O33:S33"/>
    <mergeCell ref="D6:E6"/>
    <mergeCell ref="O6:S6"/>
    <mergeCell ref="B27:K28"/>
    <mergeCell ref="L27:L28"/>
    <mergeCell ref="M27:T28"/>
  </mergeCells>
  <conditionalFormatting sqref="R26 N26 H26:J26 D26 D78:D1048576 H78:J1048576 N78:N1048576 R78:R1048576">
    <cfRule type="cellIs" dxfId="12" priority="15" operator="equal">
      <formula>"Unused"</formula>
    </cfRule>
  </conditionalFormatting>
  <conditionalFormatting sqref="R70:R73 N77 H77:J77 D77 R76:R77">
    <cfRule type="cellIs" dxfId="11" priority="8" operator="equal">
      <formula>"Unused"</formula>
    </cfRule>
  </conditionalFormatting>
  <conditionalFormatting sqref="E9:E24 K9:K24 O9:O24 S9:S24">
    <cfRule type="cellIs" dxfId="10" priority="9" operator="equal">
      <formula>"Y"</formula>
    </cfRule>
    <cfRule type="cellIs" dxfId="9" priority="12" operator="equal">
      <formula>"N"</formula>
    </cfRule>
  </conditionalFormatting>
  <conditionalFormatting sqref="H4:J5 N4:N5 R4 R7:R25 N7:N25 H7:J7 H25:J25 H8:H24 D4:D25">
    <cfRule type="cellIs" dxfId="8" priority="11" operator="equal">
      <formula>"Unused"</formula>
    </cfRule>
  </conditionalFormatting>
  <conditionalFormatting sqref="H6 N6">
    <cfRule type="cellIs" dxfId="7" priority="10" operator="equal">
      <formula>"Unused"</formula>
    </cfRule>
  </conditionalFormatting>
  <conditionalFormatting sqref="H29:J29 N29 D29:D30 H30">
    <cfRule type="cellIs" dxfId="6" priority="7" operator="equal">
      <formula>"Unused"</formula>
    </cfRule>
  </conditionalFormatting>
  <conditionalFormatting sqref="H31:I31 K70:M70 O76 F76 K76:M76 F73 K73:M73 M71:M72 K32:L69 F70 E32:E69 O32:O73">
    <cfRule type="cellIs" dxfId="5" priority="5" operator="equal">
      <formula>"N"</formula>
    </cfRule>
    <cfRule type="cellIs" dxfId="4" priority="6" operator="equal">
      <formula>"Y"</formula>
    </cfRule>
  </conditionalFormatting>
  <conditionalFormatting sqref="N73">
    <cfRule type="cellIs" dxfId="3" priority="4" operator="equal">
      <formula>"Unused"</formula>
    </cfRule>
  </conditionalFormatting>
  <conditionalFormatting sqref="H32:J69">
    <cfRule type="cellIs" dxfId="2" priority="3" operator="equal">
      <formula>"Unused"</formula>
    </cfRule>
  </conditionalFormatting>
  <conditionalFormatting sqref="D32:D69">
    <cfRule type="cellIs" dxfId="1" priority="1" operator="equal">
      <formula>"N"</formula>
    </cfRule>
    <cfRule type="cellIs" dxfId="0" priority="2" operator="equal">
      <formula>"Y"</formula>
    </cfRule>
  </conditionalFormatting>
  <dataValidations count="4">
    <dataValidation type="list" allowBlank="1" showInputMessage="1" showErrorMessage="1" sqref="O9:O14 E9:E24 K9:K24">
      <formula1>"Y,N"</formula1>
    </dataValidation>
    <dataValidation type="whole" allowBlank="1" showInputMessage="1" showErrorMessage="1" sqref="H32:M69">
      <formula1>0</formula1>
      <formula2>255</formula2>
    </dataValidation>
    <dataValidation type="whole" allowBlank="1" showInputMessage="1" showErrorMessage="1" sqref="E5">
      <formula1>1</formula1>
      <formula2>505</formula2>
    </dataValidation>
    <dataValidation type="whole" allowBlank="1" showInputMessage="1" showErrorMessage="1" sqref="D32:D69">
      <formula1>1</formula1>
      <formula2>4096</formula2>
    </dataValidation>
  </dataValidations>
  <pageMargins left="0.7" right="0.7" top="0.75" bottom="0.75" header="0.3" footer="0.3"/>
  <pageSetup paperSize="9" orientation="portrait" r:id="rId1"/>
  <ignoredErrors>
    <ignoredError sqref="O6 C75 N32:S69 N72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6"/>
  <sheetViews>
    <sheetView workbookViewId="0">
      <pane ySplit="1" topLeftCell="A2" activePane="bottomLeft" state="frozen"/>
      <selection pane="bottomLeft" activeCell="D469" sqref="D464:D469"/>
    </sheetView>
  </sheetViews>
  <sheetFormatPr defaultRowHeight="15" x14ac:dyDescent="0.25"/>
  <cols>
    <col min="1" max="1" width="6.7109375" style="5" bestFit="1" customWidth="1"/>
    <col min="2" max="2" width="19.140625" style="5" bestFit="1" customWidth="1"/>
    <col min="4" max="4" width="8.42578125" style="1" bestFit="1" customWidth="1"/>
    <col min="5" max="5" width="14.42578125" style="1" bestFit="1" customWidth="1"/>
  </cols>
  <sheetData>
    <row r="1" spans="1:5" s="3" customFormat="1" x14ac:dyDescent="0.25">
      <c r="A1" s="4" t="s">
        <v>988</v>
      </c>
      <c r="B1" s="4" t="s">
        <v>0</v>
      </c>
      <c r="D1" s="2" t="s">
        <v>2</v>
      </c>
      <c r="E1" s="2" t="s">
        <v>3</v>
      </c>
    </row>
    <row r="2" spans="1:5" x14ac:dyDescent="0.25">
      <c r="A2" s="5">
        <v>1</v>
      </c>
      <c r="B2" s="5" t="s">
        <v>64</v>
      </c>
      <c r="D2" s="1">
        <v>4096</v>
      </c>
      <c r="E2" s="1" t="s">
        <v>57</v>
      </c>
    </row>
    <row r="3" spans="1:5" x14ac:dyDescent="0.25">
      <c r="A3" s="5">
        <v>2</v>
      </c>
      <c r="B3" s="5" t="s">
        <v>65</v>
      </c>
      <c r="D3" s="1">
        <v>1</v>
      </c>
      <c r="E3" s="1" t="s">
        <v>935</v>
      </c>
    </row>
    <row r="4" spans="1:5" x14ac:dyDescent="0.25">
      <c r="A4" s="5">
        <v>3</v>
      </c>
      <c r="B4" s="5" t="s">
        <v>66</v>
      </c>
      <c r="D4" s="1">
        <v>2</v>
      </c>
      <c r="E4" s="1" t="s">
        <v>686</v>
      </c>
    </row>
    <row r="5" spans="1:5" x14ac:dyDescent="0.25">
      <c r="A5" s="5">
        <v>4</v>
      </c>
      <c r="B5" s="5" t="s">
        <v>67</v>
      </c>
      <c r="D5" s="1">
        <v>3</v>
      </c>
      <c r="E5" s="1" t="s">
        <v>843</v>
      </c>
    </row>
    <row r="6" spans="1:5" x14ac:dyDescent="0.25">
      <c r="A6" s="5">
        <v>5</v>
      </c>
      <c r="B6" s="5" t="s">
        <v>68</v>
      </c>
      <c r="D6" s="1">
        <v>4</v>
      </c>
      <c r="E6" s="1" t="s">
        <v>687</v>
      </c>
    </row>
    <row r="7" spans="1:5" x14ac:dyDescent="0.25">
      <c r="A7" s="5">
        <v>6</v>
      </c>
      <c r="B7" s="5" t="s">
        <v>69</v>
      </c>
      <c r="D7" s="1">
        <v>5</v>
      </c>
      <c r="E7" s="1" t="s">
        <v>648</v>
      </c>
    </row>
    <row r="8" spans="1:5" x14ac:dyDescent="0.25">
      <c r="A8" s="5">
        <v>7</v>
      </c>
      <c r="B8" s="5" t="s">
        <v>70</v>
      </c>
      <c r="D8" s="1">
        <v>6</v>
      </c>
      <c r="E8" s="1" t="s">
        <v>591</v>
      </c>
    </row>
    <row r="9" spans="1:5" x14ac:dyDescent="0.25">
      <c r="A9" s="5">
        <v>8</v>
      </c>
      <c r="B9" s="5" t="s">
        <v>71</v>
      </c>
      <c r="D9" s="1">
        <v>7</v>
      </c>
      <c r="E9" s="1" t="s">
        <v>19</v>
      </c>
    </row>
    <row r="10" spans="1:5" x14ac:dyDescent="0.25">
      <c r="A10" s="5">
        <v>9</v>
      </c>
      <c r="B10" s="5" t="s">
        <v>72</v>
      </c>
      <c r="D10" s="1">
        <v>8</v>
      </c>
      <c r="E10" s="1" t="s">
        <v>21</v>
      </c>
    </row>
    <row r="11" spans="1:5" x14ac:dyDescent="0.25">
      <c r="A11" s="5">
        <v>10</v>
      </c>
      <c r="B11" s="5" t="s">
        <v>73</v>
      </c>
      <c r="D11" s="1">
        <v>9</v>
      </c>
      <c r="E11" s="1" t="s">
        <v>790</v>
      </c>
    </row>
    <row r="12" spans="1:5" x14ac:dyDescent="0.25">
      <c r="A12" s="5">
        <v>11</v>
      </c>
      <c r="B12" s="5" t="s">
        <v>74</v>
      </c>
      <c r="D12" s="1">
        <v>10</v>
      </c>
      <c r="E12" s="1" t="s">
        <v>971</v>
      </c>
    </row>
    <row r="13" spans="1:5" x14ac:dyDescent="0.25">
      <c r="A13" s="5">
        <v>12</v>
      </c>
      <c r="B13" s="5" t="s">
        <v>75</v>
      </c>
      <c r="D13" s="1">
        <v>11</v>
      </c>
      <c r="E13" s="1" t="s">
        <v>734</v>
      </c>
    </row>
    <row r="14" spans="1:5" x14ac:dyDescent="0.25">
      <c r="A14" s="5">
        <v>13</v>
      </c>
      <c r="B14" s="5" t="s">
        <v>76</v>
      </c>
      <c r="D14" s="1">
        <v>12</v>
      </c>
      <c r="E14" s="1" t="s">
        <v>723</v>
      </c>
    </row>
    <row r="15" spans="1:5" x14ac:dyDescent="0.25">
      <c r="A15" s="5">
        <v>14</v>
      </c>
      <c r="B15" s="5" t="s">
        <v>77</v>
      </c>
      <c r="D15" s="1">
        <v>13</v>
      </c>
      <c r="E15" s="1" t="s">
        <v>707</v>
      </c>
    </row>
    <row r="16" spans="1:5" x14ac:dyDescent="0.25">
      <c r="A16" s="5">
        <v>15</v>
      </c>
      <c r="B16" s="5" t="s">
        <v>78</v>
      </c>
      <c r="D16" s="1">
        <v>14</v>
      </c>
      <c r="E16" s="1" t="s">
        <v>857</v>
      </c>
    </row>
    <row r="17" spans="1:5" x14ac:dyDescent="0.25">
      <c r="A17" s="5">
        <v>16</v>
      </c>
      <c r="B17" s="5" t="s">
        <v>79</v>
      </c>
      <c r="D17" s="1">
        <v>15</v>
      </c>
      <c r="E17" s="1" t="s">
        <v>572</v>
      </c>
    </row>
    <row r="18" spans="1:5" x14ac:dyDescent="0.25">
      <c r="A18" s="5">
        <v>17</v>
      </c>
      <c r="B18" s="5" t="s">
        <v>80</v>
      </c>
      <c r="D18" s="1">
        <v>16</v>
      </c>
      <c r="E18" s="1" t="s">
        <v>894</v>
      </c>
    </row>
    <row r="19" spans="1:5" x14ac:dyDescent="0.25">
      <c r="A19" s="5">
        <v>18</v>
      </c>
      <c r="B19" s="5" t="s">
        <v>81</v>
      </c>
      <c r="D19" s="1">
        <v>17</v>
      </c>
      <c r="E19" s="1" t="s">
        <v>909</v>
      </c>
    </row>
    <row r="20" spans="1:5" x14ac:dyDescent="0.25">
      <c r="A20" s="5">
        <v>19</v>
      </c>
      <c r="B20" s="5" t="s">
        <v>82</v>
      </c>
      <c r="D20" s="1">
        <v>18</v>
      </c>
      <c r="E20" s="1" t="s">
        <v>858</v>
      </c>
    </row>
    <row r="21" spans="1:5" x14ac:dyDescent="0.25">
      <c r="A21" s="5">
        <v>20</v>
      </c>
      <c r="B21" s="5" t="s">
        <v>83</v>
      </c>
      <c r="D21" s="1">
        <v>19</v>
      </c>
      <c r="E21" s="1" t="s">
        <v>627</v>
      </c>
    </row>
    <row r="22" spans="1:5" x14ac:dyDescent="0.25">
      <c r="A22" s="5">
        <v>21</v>
      </c>
      <c r="B22" s="5" t="s">
        <v>84</v>
      </c>
      <c r="D22" s="1">
        <v>20</v>
      </c>
      <c r="E22" s="1" t="s">
        <v>752</v>
      </c>
    </row>
    <row r="23" spans="1:5" x14ac:dyDescent="0.25">
      <c r="A23" s="5">
        <v>22</v>
      </c>
      <c r="B23" s="5" t="s">
        <v>85</v>
      </c>
      <c r="D23" s="1">
        <v>21</v>
      </c>
      <c r="E23" s="1" t="s">
        <v>922</v>
      </c>
    </row>
    <row r="24" spans="1:5" x14ac:dyDescent="0.25">
      <c r="A24" s="5">
        <v>23</v>
      </c>
      <c r="B24" s="5" t="s">
        <v>86</v>
      </c>
      <c r="D24" s="1">
        <v>22</v>
      </c>
      <c r="E24" s="1" t="s">
        <v>766</v>
      </c>
    </row>
    <row r="25" spans="1:5" x14ac:dyDescent="0.25">
      <c r="A25" s="5">
        <v>24</v>
      </c>
      <c r="B25" s="5" t="s">
        <v>87</v>
      </c>
      <c r="D25" s="1">
        <v>23</v>
      </c>
      <c r="E25" s="1" t="s">
        <v>898</v>
      </c>
    </row>
    <row r="26" spans="1:5" x14ac:dyDescent="0.25">
      <c r="A26" s="5">
        <v>25</v>
      </c>
      <c r="B26" s="5" t="s">
        <v>88</v>
      </c>
      <c r="D26" s="1">
        <v>24</v>
      </c>
      <c r="E26" s="1" t="s">
        <v>767</v>
      </c>
    </row>
    <row r="27" spans="1:5" x14ac:dyDescent="0.25">
      <c r="A27" s="5">
        <v>26</v>
      </c>
      <c r="B27" s="5" t="s">
        <v>89</v>
      </c>
      <c r="D27" s="1">
        <v>25</v>
      </c>
      <c r="E27" s="1" t="s">
        <v>592</v>
      </c>
    </row>
    <row r="28" spans="1:5" x14ac:dyDescent="0.25">
      <c r="A28" s="5">
        <v>27</v>
      </c>
      <c r="B28" s="5" t="s">
        <v>90</v>
      </c>
      <c r="D28" s="1">
        <v>26</v>
      </c>
      <c r="E28" s="1" t="s">
        <v>649</v>
      </c>
    </row>
    <row r="29" spans="1:5" x14ac:dyDescent="0.25">
      <c r="A29" s="5">
        <v>28</v>
      </c>
      <c r="B29" s="5" t="s">
        <v>91</v>
      </c>
      <c r="D29" s="1">
        <v>27</v>
      </c>
      <c r="E29" s="1" t="s">
        <v>628</v>
      </c>
    </row>
    <row r="30" spans="1:5" x14ac:dyDescent="0.25">
      <c r="A30" s="5">
        <v>29</v>
      </c>
      <c r="B30" s="5" t="s">
        <v>92</v>
      </c>
      <c r="D30" s="1">
        <v>28</v>
      </c>
      <c r="E30" s="1" t="s">
        <v>972</v>
      </c>
    </row>
    <row r="31" spans="1:5" x14ac:dyDescent="0.25">
      <c r="A31" s="5">
        <v>30</v>
      </c>
      <c r="B31" s="5" t="s">
        <v>93</v>
      </c>
      <c r="D31" s="1">
        <v>29</v>
      </c>
      <c r="E31" s="1" t="s">
        <v>4</v>
      </c>
    </row>
    <row r="32" spans="1:5" x14ac:dyDescent="0.25">
      <c r="A32" s="5">
        <v>31</v>
      </c>
      <c r="B32" s="5" t="s">
        <v>94</v>
      </c>
      <c r="D32" s="1">
        <v>30</v>
      </c>
      <c r="E32" s="1" t="s">
        <v>768</v>
      </c>
    </row>
    <row r="33" spans="1:5" x14ac:dyDescent="0.25">
      <c r="A33" s="5">
        <v>32</v>
      </c>
      <c r="B33" s="5" t="s">
        <v>95</v>
      </c>
      <c r="D33" s="1">
        <v>31</v>
      </c>
      <c r="E33" s="1" t="s">
        <v>931</v>
      </c>
    </row>
    <row r="34" spans="1:5" x14ac:dyDescent="0.25">
      <c r="A34" s="5">
        <v>33</v>
      </c>
      <c r="B34" s="5" t="s">
        <v>96</v>
      </c>
      <c r="D34" s="1">
        <v>32</v>
      </c>
      <c r="E34" s="1" t="s">
        <v>724</v>
      </c>
    </row>
    <row r="35" spans="1:5" x14ac:dyDescent="0.25">
      <c r="A35" s="5">
        <v>34</v>
      </c>
      <c r="B35" s="5" t="s">
        <v>97</v>
      </c>
      <c r="D35" s="1">
        <v>33</v>
      </c>
      <c r="E35" s="1" t="s">
        <v>983</v>
      </c>
    </row>
    <row r="36" spans="1:5" x14ac:dyDescent="0.25">
      <c r="A36" s="5">
        <v>35</v>
      </c>
      <c r="B36" s="5" t="s">
        <v>98</v>
      </c>
      <c r="D36" s="1">
        <v>34</v>
      </c>
      <c r="E36" s="1" t="s">
        <v>899</v>
      </c>
    </row>
    <row r="37" spans="1:5" x14ac:dyDescent="0.25">
      <c r="A37" s="5">
        <v>36</v>
      </c>
      <c r="B37" s="5" t="s">
        <v>99</v>
      </c>
      <c r="D37" s="1">
        <v>35</v>
      </c>
      <c r="E37" s="1" t="s">
        <v>885</v>
      </c>
    </row>
    <row r="38" spans="1:5" x14ac:dyDescent="0.25">
      <c r="A38" s="5">
        <v>37</v>
      </c>
      <c r="B38" s="5" t="s">
        <v>100</v>
      </c>
      <c r="D38" s="1">
        <v>36</v>
      </c>
      <c r="E38" s="1" t="s">
        <v>975</v>
      </c>
    </row>
    <row r="39" spans="1:5" x14ac:dyDescent="0.25">
      <c r="A39" s="5">
        <v>38</v>
      </c>
      <c r="B39" s="5" t="s">
        <v>101</v>
      </c>
      <c r="D39" s="1">
        <v>37</v>
      </c>
      <c r="E39" s="1" t="s">
        <v>869</v>
      </c>
    </row>
    <row r="40" spans="1:5" x14ac:dyDescent="0.25">
      <c r="A40" s="5">
        <v>39</v>
      </c>
      <c r="B40" s="5" t="s">
        <v>102</v>
      </c>
      <c r="D40" s="1">
        <v>38</v>
      </c>
      <c r="E40" s="1" t="s">
        <v>962</v>
      </c>
    </row>
    <row r="41" spans="1:5" x14ac:dyDescent="0.25">
      <c r="A41" s="5">
        <v>40</v>
      </c>
      <c r="B41" s="5" t="s">
        <v>103</v>
      </c>
      <c r="D41" s="1">
        <v>39</v>
      </c>
      <c r="E41" s="1" t="s">
        <v>973</v>
      </c>
    </row>
    <row r="42" spans="1:5" x14ac:dyDescent="0.25">
      <c r="A42" s="5">
        <v>41</v>
      </c>
      <c r="B42" s="5" t="s">
        <v>104</v>
      </c>
      <c r="D42" s="1">
        <v>40</v>
      </c>
      <c r="E42" s="1" t="s">
        <v>936</v>
      </c>
    </row>
    <row r="43" spans="1:5" x14ac:dyDescent="0.25">
      <c r="A43" s="5">
        <v>42</v>
      </c>
      <c r="B43" s="5" t="s">
        <v>105</v>
      </c>
      <c r="D43" s="1">
        <v>41</v>
      </c>
      <c r="E43" s="1" t="s">
        <v>593</v>
      </c>
    </row>
    <row r="44" spans="1:5" x14ac:dyDescent="0.25">
      <c r="A44" s="5">
        <v>43</v>
      </c>
      <c r="B44" s="5" t="s">
        <v>106</v>
      </c>
      <c r="D44" s="1">
        <v>42</v>
      </c>
      <c r="E44" s="1" t="s">
        <v>769</v>
      </c>
    </row>
    <row r="45" spans="1:5" x14ac:dyDescent="0.25">
      <c r="A45" s="5">
        <v>44</v>
      </c>
      <c r="B45" s="5" t="s">
        <v>107</v>
      </c>
      <c r="D45" s="1">
        <v>43</v>
      </c>
      <c r="E45" s="1" t="s">
        <v>982</v>
      </c>
    </row>
    <row r="46" spans="1:5" x14ac:dyDescent="0.25">
      <c r="A46" s="5">
        <v>45</v>
      </c>
      <c r="B46" s="5" t="s">
        <v>108</v>
      </c>
      <c r="D46" s="1">
        <v>44</v>
      </c>
      <c r="E46" s="1" t="s">
        <v>979</v>
      </c>
    </row>
    <row r="47" spans="1:5" x14ac:dyDescent="0.25">
      <c r="A47" s="5">
        <v>46</v>
      </c>
      <c r="B47" s="5" t="s">
        <v>109</v>
      </c>
      <c r="D47" s="1">
        <v>45</v>
      </c>
      <c r="E47" s="1" t="s">
        <v>981</v>
      </c>
    </row>
    <row r="48" spans="1:5" x14ac:dyDescent="0.25">
      <c r="A48" s="5">
        <v>47</v>
      </c>
      <c r="B48" s="5" t="s">
        <v>110</v>
      </c>
      <c r="D48" s="1">
        <v>46</v>
      </c>
      <c r="E48" s="1" t="s">
        <v>895</v>
      </c>
    </row>
    <row r="49" spans="1:5" x14ac:dyDescent="0.25">
      <c r="A49" s="5">
        <v>48</v>
      </c>
      <c r="B49" s="5" t="s">
        <v>111</v>
      </c>
      <c r="D49" s="1">
        <v>47</v>
      </c>
      <c r="E49" s="1" t="s">
        <v>870</v>
      </c>
    </row>
    <row r="50" spans="1:5" x14ac:dyDescent="0.25">
      <c r="A50" s="5">
        <v>49</v>
      </c>
      <c r="B50" s="5" t="s">
        <v>112</v>
      </c>
      <c r="D50" s="1">
        <v>48</v>
      </c>
      <c r="E50" s="1" t="s">
        <v>958</v>
      </c>
    </row>
    <row r="51" spans="1:5" x14ac:dyDescent="0.25">
      <c r="A51" s="5">
        <v>50</v>
      </c>
      <c r="B51" s="5" t="s">
        <v>113</v>
      </c>
      <c r="D51" s="1">
        <v>49</v>
      </c>
      <c r="E51" s="1" t="s">
        <v>801</v>
      </c>
    </row>
    <row r="52" spans="1:5" x14ac:dyDescent="0.25">
      <c r="A52" s="5">
        <v>51</v>
      </c>
      <c r="B52" s="5" t="s">
        <v>114</v>
      </c>
      <c r="D52" s="1">
        <v>50</v>
      </c>
      <c r="E52" s="1" t="s">
        <v>910</v>
      </c>
    </row>
    <row r="53" spans="1:5" x14ac:dyDescent="0.25">
      <c r="A53" s="5">
        <v>52</v>
      </c>
      <c r="B53" s="5" t="s">
        <v>115</v>
      </c>
      <c r="D53" s="1">
        <v>51</v>
      </c>
      <c r="E53" s="1" t="s">
        <v>802</v>
      </c>
    </row>
    <row r="54" spans="1:5" x14ac:dyDescent="0.25">
      <c r="A54" s="5">
        <v>53</v>
      </c>
      <c r="B54" s="5" t="s">
        <v>116</v>
      </c>
      <c r="D54" s="1">
        <v>52</v>
      </c>
      <c r="E54" s="1" t="s">
        <v>963</v>
      </c>
    </row>
    <row r="55" spans="1:5" x14ac:dyDescent="0.25">
      <c r="A55" s="5">
        <v>54</v>
      </c>
      <c r="B55" s="5" t="s">
        <v>117</v>
      </c>
      <c r="D55" s="1">
        <v>53</v>
      </c>
      <c r="E55" s="1" t="s">
        <v>888</v>
      </c>
    </row>
    <row r="56" spans="1:5" x14ac:dyDescent="0.25">
      <c r="A56" s="5">
        <v>55</v>
      </c>
      <c r="B56" s="5" t="s">
        <v>118</v>
      </c>
      <c r="D56" s="1">
        <v>54</v>
      </c>
      <c r="E56" s="1" t="s">
        <v>896</v>
      </c>
    </row>
    <row r="57" spans="1:5" x14ac:dyDescent="0.25">
      <c r="A57" s="5">
        <v>56</v>
      </c>
      <c r="B57" s="5" t="s">
        <v>119</v>
      </c>
      <c r="D57" s="1">
        <v>55</v>
      </c>
      <c r="E57" s="1" t="s">
        <v>976</v>
      </c>
    </row>
    <row r="58" spans="1:5" x14ac:dyDescent="0.25">
      <c r="A58" s="5">
        <v>57</v>
      </c>
      <c r="B58" s="5" t="s">
        <v>120</v>
      </c>
      <c r="D58" s="1">
        <v>56</v>
      </c>
      <c r="E58" s="1" t="s">
        <v>959</v>
      </c>
    </row>
    <row r="59" spans="1:5" x14ac:dyDescent="0.25">
      <c r="A59" s="5">
        <v>58</v>
      </c>
      <c r="B59" s="5" t="s">
        <v>121</v>
      </c>
      <c r="D59" s="1">
        <v>57</v>
      </c>
      <c r="E59" s="1" t="s">
        <v>573</v>
      </c>
    </row>
    <row r="60" spans="1:5" x14ac:dyDescent="0.25">
      <c r="A60" s="5">
        <v>59</v>
      </c>
      <c r="B60" s="5" t="s">
        <v>122</v>
      </c>
      <c r="D60" s="1">
        <v>58</v>
      </c>
      <c r="E60" s="1" t="s">
        <v>770</v>
      </c>
    </row>
    <row r="61" spans="1:5" x14ac:dyDescent="0.25">
      <c r="A61" s="5">
        <v>60</v>
      </c>
      <c r="B61" s="5" t="s">
        <v>123</v>
      </c>
      <c r="D61" s="1">
        <v>59</v>
      </c>
      <c r="E61" s="1" t="s">
        <v>859</v>
      </c>
    </row>
    <row r="62" spans="1:5" x14ac:dyDescent="0.25">
      <c r="A62" s="5">
        <v>61</v>
      </c>
      <c r="B62" s="5" t="s">
        <v>124</v>
      </c>
      <c r="D62" s="1">
        <v>60</v>
      </c>
      <c r="E62" s="1" t="s">
        <v>944</v>
      </c>
    </row>
    <row r="63" spans="1:5" x14ac:dyDescent="0.25">
      <c r="A63" s="5">
        <v>62</v>
      </c>
      <c r="B63" s="5" t="s">
        <v>125</v>
      </c>
      <c r="D63" s="1">
        <v>61</v>
      </c>
      <c r="E63" s="1" t="s">
        <v>947</v>
      </c>
    </row>
    <row r="64" spans="1:5" x14ac:dyDescent="0.25">
      <c r="A64" s="5">
        <v>63</v>
      </c>
      <c r="B64" s="5" t="s">
        <v>126</v>
      </c>
      <c r="D64" s="1">
        <v>62</v>
      </c>
      <c r="E64" s="1" t="s">
        <v>813</v>
      </c>
    </row>
    <row r="65" spans="1:5" x14ac:dyDescent="0.25">
      <c r="A65" s="5">
        <v>64</v>
      </c>
      <c r="B65" s="5" t="s">
        <v>127</v>
      </c>
      <c r="D65" s="1">
        <v>63</v>
      </c>
      <c r="E65" s="1" t="s">
        <v>925</v>
      </c>
    </row>
    <row r="66" spans="1:5" x14ac:dyDescent="0.25">
      <c r="A66" s="5">
        <v>65</v>
      </c>
      <c r="B66" s="5" t="s">
        <v>128</v>
      </c>
      <c r="D66" s="1">
        <v>64</v>
      </c>
      <c r="E66" s="1" t="s">
        <v>941</v>
      </c>
    </row>
    <row r="67" spans="1:5" x14ac:dyDescent="0.25">
      <c r="A67" s="5">
        <v>66</v>
      </c>
      <c r="B67" s="5" t="s">
        <v>129</v>
      </c>
      <c r="D67" s="1">
        <v>65</v>
      </c>
      <c r="E67" s="1" t="s">
        <v>735</v>
      </c>
    </row>
    <row r="68" spans="1:5" x14ac:dyDescent="0.25">
      <c r="A68" s="5">
        <v>67</v>
      </c>
      <c r="B68" s="5" t="s">
        <v>130</v>
      </c>
      <c r="D68" s="1">
        <v>66</v>
      </c>
      <c r="E68" s="1" t="s">
        <v>571</v>
      </c>
    </row>
    <row r="69" spans="1:5" x14ac:dyDescent="0.25">
      <c r="A69" s="5">
        <v>68</v>
      </c>
      <c r="B69" s="5" t="s">
        <v>131</v>
      </c>
      <c r="D69" s="1">
        <v>67</v>
      </c>
      <c r="E69" s="1" t="s">
        <v>53</v>
      </c>
    </row>
    <row r="70" spans="1:5" x14ac:dyDescent="0.25">
      <c r="A70" s="5">
        <v>69</v>
      </c>
      <c r="B70" s="5" t="s">
        <v>132</v>
      </c>
      <c r="D70" s="1">
        <v>68</v>
      </c>
      <c r="E70" s="1" t="s">
        <v>803</v>
      </c>
    </row>
    <row r="71" spans="1:5" x14ac:dyDescent="0.25">
      <c r="A71" s="5">
        <v>70</v>
      </c>
      <c r="B71" s="5" t="s">
        <v>133</v>
      </c>
      <c r="D71" s="1">
        <v>69</v>
      </c>
      <c r="E71" s="1" t="s">
        <v>753</v>
      </c>
    </row>
    <row r="72" spans="1:5" x14ac:dyDescent="0.25">
      <c r="A72" s="5">
        <v>71</v>
      </c>
      <c r="B72" s="5" t="s">
        <v>134</v>
      </c>
      <c r="D72" s="1">
        <v>70</v>
      </c>
      <c r="E72" s="1" t="s">
        <v>574</v>
      </c>
    </row>
    <row r="73" spans="1:5" x14ac:dyDescent="0.25">
      <c r="A73" s="5">
        <v>72</v>
      </c>
      <c r="B73" s="5" t="s">
        <v>135</v>
      </c>
      <c r="D73" s="1">
        <v>71</v>
      </c>
      <c r="E73" s="1" t="s">
        <v>937</v>
      </c>
    </row>
    <row r="74" spans="1:5" x14ac:dyDescent="0.25">
      <c r="A74" s="5">
        <v>73</v>
      </c>
      <c r="B74" s="5" t="s">
        <v>136</v>
      </c>
      <c r="D74" s="1">
        <v>72</v>
      </c>
      <c r="E74" s="1" t="s">
        <v>911</v>
      </c>
    </row>
    <row r="75" spans="1:5" x14ac:dyDescent="0.25">
      <c r="A75" s="5">
        <v>74</v>
      </c>
      <c r="B75" s="5" t="s">
        <v>137</v>
      </c>
      <c r="D75" s="1">
        <v>73</v>
      </c>
      <c r="E75" s="1" t="s">
        <v>912</v>
      </c>
    </row>
    <row r="76" spans="1:5" x14ac:dyDescent="0.25">
      <c r="A76" s="5">
        <v>75</v>
      </c>
      <c r="B76" s="5" t="s">
        <v>138</v>
      </c>
      <c r="D76" s="1">
        <v>74</v>
      </c>
      <c r="E76" s="1" t="s">
        <v>932</v>
      </c>
    </row>
    <row r="77" spans="1:5" x14ac:dyDescent="0.25">
      <c r="A77" s="5">
        <v>76</v>
      </c>
      <c r="B77" s="5" t="s">
        <v>139</v>
      </c>
      <c r="D77" s="1">
        <v>75</v>
      </c>
      <c r="E77" s="1" t="s">
        <v>913</v>
      </c>
    </row>
    <row r="78" spans="1:5" x14ac:dyDescent="0.25">
      <c r="A78" s="5">
        <v>77</v>
      </c>
      <c r="B78" s="5" t="s">
        <v>140</v>
      </c>
      <c r="D78" s="1">
        <v>76</v>
      </c>
      <c r="E78" s="1" t="s">
        <v>826</v>
      </c>
    </row>
    <row r="79" spans="1:5" x14ac:dyDescent="0.25">
      <c r="A79" s="5">
        <v>78</v>
      </c>
      <c r="B79" s="5" t="s">
        <v>141</v>
      </c>
      <c r="D79" s="1">
        <v>77</v>
      </c>
      <c r="E79" s="1" t="s">
        <v>926</v>
      </c>
    </row>
    <row r="80" spans="1:5" x14ac:dyDescent="0.25">
      <c r="A80" s="5">
        <v>79</v>
      </c>
      <c r="B80" s="5" t="s">
        <v>142</v>
      </c>
      <c r="D80" s="1">
        <v>78</v>
      </c>
      <c r="E80" s="1" t="s">
        <v>914</v>
      </c>
    </row>
    <row r="81" spans="1:5" x14ac:dyDescent="0.25">
      <c r="A81" s="5">
        <v>80</v>
      </c>
      <c r="B81" s="5" t="s">
        <v>143</v>
      </c>
      <c r="D81" s="1">
        <v>79</v>
      </c>
      <c r="E81" s="1" t="s">
        <v>871</v>
      </c>
    </row>
    <row r="82" spans="1:5" x14ac:dyDescent="0.25">
      <c r="A82" s="5">
        <v>81</v>
      </c>
      <c r="B82" s="5" t="s">
        <v>144</v>
      </c>
      <c r="D82" s="1">
        <v>80</v>
      </c>
      <c r="E82" s="1" t="s">
        <v>736</v>
      </c>
    </row>
    <row r="83" spans="1:5" x14ac:dyDescent="0.25">
      <c r="A83" s="5">
        <v>82</v>
      </c>
      <c r="B83" s="5" t="s">
        <v>145</v>
      </c>
      <c r="D83" s="1">
        <v>81</v>
      </c>
      <c r="E83" s="1" t="s">
        <v>46</v>
      </c>
    </row>
    <row r="84" spans="1:5" x14ac:dyDescent="0.25">
      <c r="A84" s="5">
        <v>83</v>
      </c>
      <c r="B84" s="5" t="s">
        <v>146</v>
      </c>
      <c r="D84" s="1">
        <v>82</v>
      </c>
      <c r="E84" s="1" t="s">
        <v>791</v>
      </c>
    </row>
    <row r="85" spans="1:5" x14ac:dyDescent="0.25">
      <c r="A85" s="5">
        <v>84</v>
      </c>
      <c r="B85" s="5" t="s">
        <v>147</v>
      </c>
      <c r="D85" s="1">
        <v>83</v>
      </c>
      <c r="E85" s="1" t="s">
        <v>877</v>
      </c>
    </row>
    <row r="86" spans="1:5" x14ac:dyDescent="0.25">
      <c r="A86" s="5">
        <v>85</v>
      </c>
      <c r="B86" s="5" t="s">
        <v>148</v>
      </c>
      <c r="D86" s="1">
        <v>84</v>
      </c>
      <c r="E86" s="1" t="s">
        <v>927</v>
      </c>
    </row>
    <row r="87" spans="1:5" x14ac:dyDescent="0.25">
      <c r="A87" s="5">
        <v>86</v>
      </c>
      <c r="B87" s="5" t="s">
        <v>149</v>
      </c>
      <c r="D87" s="1">
        <v>85</v>
      </c>
      <c r="E87" s="1" t="s">
        <v>688</v>
      </c>
    </row>
    <row r="88" spans="1:5" x14ac:dyDescent="0.25">
      <c r="A88" s="5">
        <v>87</v>
      </c>
      <c r="B88" s="5" t="s">
        <v>150</v>
      </c>
      <c r="D88" s="1">
        <v>86</v>
      </c>
      <c r="E88" s="1" t="s">
        <v>945</v>
      </c>
    </row>
    <row r="89" spans="1:5" x14ac:dyDescent="0.25">
      <c r="A89" s="5">
        <v>88</v>
      </c>
      <c r="B89" s="5" t="s">
        <v>151</v>
      </c>
      <c r="D89" s="1">
        <v>87</v>
      </c>
      <c r="E89" s="1" t="s">
        <v>827</v>
      </c>
    </row>
    <row r="90" spans="1:5" x14ac:dyDescent="0.25">
      <c r="A90" s="5">
        <v>89</v>
      </c>
      <c r="B90" s="5" t="s">
        <v>152</v>
      </c>
      <c r="D90" s="1">
        <v>88</v>
      </c>
      <c r="E90" s="1" t="s">
        <v>844</v>
      </c>
    </row>
    <row r="91" spans="1:5" x14ac:dyDescent="0.25">
      <c r="A91" s="5">
        <v>90</v>
      </c>
      <c r="B91" s="5" t="s">
        <v>153</v>
      </c>
      <c r="D91" s="1">
        <v>89</v>
      </c>
      <c r="E91" s="1" t="s">
        <v>933</v>
      </c>
    </row>
    <row r="92" spans="1:5" x14ac:dyDescent="0.25">
      <c r="A92" s="5">
        <v>91</v>
      </c>
      <c r="B92" s="5" t="s">
        <v>154</v>
      </c>
      <c r="D92" s="1">
        <v>90</v>
      </c>
      <c r="E92" s="1" t="s">
        <v>771</v>
      </c>
    </row>
    <row r="93" spans="1:5" x14ac:dyDescent="0.25">
      <c r="A93" s="5">
        <v>92</v>
      </c>
      <c r="B93" s="5" t="s">
        <v>155</v>
      </c>
      <c r="D93" s="1">
        <v>91</v>
      </c>
      <c r="E93" s="1" t="s">
        <v>772</v>
      </c>
    </row>
    <row r="94" spans="1:5" x14ac:dyDescent="0.25">
      <c r="A94" s="5">
        <v>93</v>
      </c>
      <c r="B94" s="5" t="s">
        <v>156</v>
      </c>
      <c r="D94" s="1">
        <v>92</v>
      </c>
      <c r="E94" s="1" t="s">
        <v>725</v>
      </c>
    </row>
    <row r="95" spans="1:5" x14ac:dyDescent="0.25">
      <c r="A95" s="5">
        <v>94</v>
      </c>
      <c r="B95" s="5" t="s">
        <v>157</v>
      </c>
      <c r="D95" s="1">
        <v>93</v>
      </c>
      <c r="E95" s="1" t="s">
        <v>974</v>
      </c>
    </row>
    <row r="96" spans="1:5" x14ac:dyDescent="0.25">
      <c r="A96" s="5">
        <v>95</v>
      </c>
      <c r="B96" s="5" t="s">
        <v>158</v>
      </c>
      <c r="D96" s="1">
        <v>94</v>
      </c>
      <c r="E96" s="1" t="s">
        <v>957</v>
      </c>
    </row>
    <row r="97" spans="1:5" x14ac:dyDescent="0.25">
      <c r="A97" s="5">
        <v>96</v>
      </c>
      <c r="B97" s="5" t="s">
        <v>159</v>
      </c>
      <c r="D97" s="1">
        <v>95</v>
      </c>
      <c r="E97" s="1" t="s">
        <v>938</v>
      </c>
    </row>
    <row r="98" spans="1:5" x14ac:dyDescent="0.25">
      <c r="A98" s="5">
        <v>97</v>
      </c>
      <c r="B98" s="5" t="s">
        <v>160</v>
      </c>
      <c r="D98" s="1">
        <v>96</v>
      </c>
      <c r="E98" s="1" t="s">
        <v>737</v>
      </c>
    </row>
    <row r="99" spans="1:5" x14ac:dyDescent="0.25">
      <c r="A99" s="5">
        <v>98</v>
      </c>
      <c r="B99" s="5" t="s">
        <v>161</v>
      </c>
      <c r="D99" s="1">
        <v>97</v>
      </c>
      <c r="E99" s="1" t="s">
        <v>978</v>
      </c>
    </row>
    <row r="100" spans="1:5" x14ac:dyDescent="0.25">
      <c r="A100" s="5">
        <v>99</v>
      </c>
      <c r="B100" s="5" t="s">
        <v>162</v>
      </c>
      <c r="D100" s="1">
        <v>98</v>
      </c>
      <c r="E100" s="1" t="s">
        <v>980</v>
      </c>
    </row>
    <row r="101" spans="1:5" x14ac:dyDescent="0.25">
      <c r="A101" s="5">
        <v>100</v>
      </c>
      <c r="B101" s="5" t="s">
        <v>163</v>
      </c>
      <c r="D101" s="1">
        <v>99</v>
      </c>
      <c r="E101" s="1" t="s">
        <v>900</v>
      </c>
    </row>
    <row r="102" spans="1:5" x14ac:dyDescent="0.25">
      <c r="A102" s="5">
        <v>101</v>
      </c>
      <c r="B102" s="5" t="s">
        <v>164</v>
      </c>
      <c r="D102" s="1">
        <v>100</v>
      </c>
      <c r="E102" s="1" t="s">
        <v>860</v>
      </c>
    </row>
    <row r="103" spans="1:5" x14ac:dyDescent="0.25">
      <c r="A103" s="5">
        <v>102</v>
      </c>
      <c r="B103" s="5" t="s">
        <v>165</v>
      </c>
      <c r="D103" s="1">
        <v>101</v>
      </c>
      <c r="E103" s="1" t="s">
        <v>878</v>
      </c>
    </row>
    <row r="104" spans="1:5" x14ac:dyDescent="0.25">
      <c r="A104" s="5">
        <v>103</v>
      </c>
      <c r="B104" s="5" t="s">
        <v>166</v>
      </c>
      <c r="D104" s="1">
        <v>102</v>
      </c>
      <c r="E104" s="1" t="s">
        <v>708</v>
      </c>
    </row>
    <row r="105" spans="1:5" x14ac:dyDescent="0.25">
      <c r="A105" s="5">
        <v>104</v>
      </c>
      <c r="B105" s="5" t="s">
        <v>167</v>
      </c>
      <c r="D105" s="1">
        <v>103</v>
      </c>
      <c r="E105" s="1" t="s">
        <v>977</v>
      </c>
    </row>
    <row r="106" spans="1:5" x14ac:dyDescent="0.25">
      <c r="A106" s="5">
        <v>105</v>
      </c>
      <c r="B106" s="5" t="s">
        <v>168</v>
      </c>
      <c r="D106" s="1">
        <v>104</v>
      </c>
      <c r="E106" s="1" t="s">
        <v>948</v>
      </c>
    </row>
    <row r="107" spans="1:5" x14ac:dyDescent="0.25">
      <c r="A107" s="5">
        <v>106</v>
      </c>
      <c r="B107" s="5" t="s">
        <v>169</v>
      </c>
      <c r="D107" s="1">
        <v>105</v>
      </c>
      <c r="E107" s="1" t="s">
        <v>915</v>
      </c>
    </row>
    <row r="108" spans="1:5" x14ac:dyDescent="0.25">
      <c r="A108" s="5">
        <v>107</v>
      </c>
      <c r="B108" s="5" t="s">
        <v>170</v>
      </c>
      <c r="D108" s="1">
        <v>106</v>
      </c>
      <c r="E108" s="1" t="s">
        <v>966</v>
      </c>
    </row>
    <row r="109" spans="1:5" x14ac:dyDescent="0.25">
      <c r="A109" s="5">
        <v>108</v>
      </c>
      <c r="B109" s="5" t="s">
        <v>171</v>
      </c>
      <c r="D109" s="1">
        <v>107</v>
      </c>
      <c r="E109" s="1" t="s">
        <v>773</v>
      </c>
    </row>
    <row r="110" spans="1:5" x14ac:dyDescent="0.25">
      <c r="A110" s="5">
        <v>109</v>
      </c>
      <c r="B110" s="5" t="s">
        <v>172</v>
      </c>
      <c r="D110" s="1">
        <v>108</v>
      </c>
      <c r="E110" s="1" t="s">
        <v>901</v>
      </c>
    </row>
    <row r="111" spans="1:5" x14ac:dyDescent="0.25">
      <c r="A111" s="5">
        <v>110</v>
      </c>
      <c r="B111" s="5" t="s">
        <v>173</v>
      </c>
      <c r="D111" s="1">
        <v>109</v>
      </c>
      <c r="E111" s="1" t="s">
        <v>960</v>
      </c>
    </row>
    <row r="112" spans="1:5" x14ac:dyDescent="0.25">
      <c r="A112" s="5">
        <v>111</v>
      </c>
      <c r="B112" s="5" t="s">
        <v>174</v>
      </c>
      <c r="D112" s="1">
        <v>110</v>
      </c>
      <c r="E112" s="1" t="s">
        <v>861</v>
      </c>
    </row>
    <row r="113" spans="1:5" x14ac:dyDescent="0.25">
      <c r="A113" s="5">
        <v>112</v>
      </c>
      <c r="B113" s="5" t="s">
        <v>175</v>
      </c>
      <c r="D113" s="1">
        <v>111</v>
      </c>
      <c r="E113" s="1" t="s">
        <v>950</v>
      </c>
    </row>
    <row r="114" spans="1:5" x14ac:dyDescent="0.25">
      <c r="A114" s="5">
        <v>113</v>
      </c>
      <c r="B114" s="5" t="s">
        <v>176</v>
      </c>
      <c r="D114" s="1">
        <v>112</v>
      </c>
      <c r="E114" s="1" t="s">
        <v>738</v>
      </c>
    </row>
    <row r="115" spans="1:5" x14ac:dyDescent="0.25">
      <c r="A115" s="5">
        <v>114</v>
      </c>
      <c r="B115" s="5" t="s">
        <v>177</v>
      </c>
      <c r="D115" s="1">
        <v>113</v>
      </c>
      <c r="E115" s="1" t="s">
        <v>889</v>
      </c>
    </row>
    <row r="116" spans="1:5" x14ac:dyDescent="0.25">
      <c r="A116" s="5">
        <v>115</v>
      </c>
      <c r="B116" s="5" t="s">
        <v>178</v>
      </c>
      <c r="D116" s="1">
        <v>114</v>
      </c>
      <c r="E116" s="1" t="s">
        <v>845</v>
      </c>
    </row>
    <row r="117" spans="1:5" x14ac:dyDescent="0.25">
      <c r="A117" s="5">
        <v>116</v>
      </c>
      <c r="B117" s="5" t="s">
        <v>179</v>
      </c>
      <c r="D117" s="1">
        <v>115</v>
      </c>
      <c r="E117" s="1" t="s">
        <v>828</v>
      </c>
    </row>
    <row r="118" spans="1:5" x14ac:dyDescent="0.25">
      <c r="A118" s="5">
        <v>117</v>
      </c>
      <c r="B118" s="5" t="s">
        <v>180</v>
      </c>
      <c r="D118" s="1">
        <v>116</v>
      </c>
      <c r="E118" s="1" t="s">
        <v>967</v>
      </c>
    </row>
    <row r="119" spans="1:5" x14ac:dyDescent="0.25">
      <c r="A119" s="5">
        <v>118</v>
      </c>
      <c r="B119" s="5" t="s">
        <v>181</v>
      </c>
      <c r="D119" s="1">
        <v>117</v>
      </c>
      <c r="E119" s="1" t="s">
        <v>846</v>
      </c>
    </row>
    <row r="120" spans="1:5" x14ac:dyDescent="0.25">
      <c r="A120" s="5">
        <v>119</v>
      </c>
      <c r="B120" s="5" t="s">
        <v>182</v>
      </c>
      <c r="D120" s="1">
        <v>118</v>
      </c>
      <c r="E120" s="1" t="s">
        <v>726</v>
      </c>
    </row>
    <row r="121" spans="1:5" x14ac:dyDescent="0.25">
      <c r="A121" s="5">
        <v>120</v>
      </c>
      <c r="B121" s="5" t="s">
        <v>183</v>
      </c>
      <c r="D121" s="1">
        <v>119</v>
      </c>
      <c r="E121" s="1" t="s">
        <v>754</v>
      </c>
    </row>
    <row r="122" spans="1:5" x14ac:dyDescent="0.25">
      <c r="A122" s="5">
        <v>121</v>
      </c>
      <c r="B122" s="5" t="s">
        <v>184</v>
      </c>
      <c r="D122" s="1">
        <v>120</v>
      </c>
      <c r="E122" s="1" t="s">
        <v>804</v>
      </c>
    </row>
    <row r="123" spans="1:5" x14ac:dyDescent="0.25">
      <c r="A123" s="5">
        <v>122</v>
      </c>
      <c r="B123" s="5" t="s">
        <v>185</v>
      </c>
      <c r="D123" s="1">
        <v>121</v>
      </c>
      <c r="E123" s="1" t="s">
        <v>650</v>
      </c>
    </row>
    <row r="124" spans="1:5" x14ac:dyDescent="0.25">
      <c r="A124" s="5">
        <v>123</v>
      </c>
      <c r="B124" s="5" t="s">
        <v>186</v>
      </c>
      <c r="D124" s="1">
        <v>122</v>
      </c>
      <c r="E124" s="1" t="s">
        <v>862</v>
      </c>
    </row>
    <row r="125" spans="1:5" x14ac:dyDescent="0.25">
      <c r="A125" s="5">
        <v>124</v>
      </c>
      <c r="B125" s="5" t="s">
        <v>187</v>
      </c>
      <c r="D125" s="1">
        <v>123</v>
      </c>
      <c r="E125" s="1" t="s">
        <v>814</v>
      </c>
    </row>
    <row r="126" spans="1:5" x14ac:dyDescent="0.25">
      <c r="A126" s="5">
        <v>125</v>
      </c>
      <c r="B126" s="5" t="s">
        <v>188</v>
      </c>
      <c r="D126" s="1">
        <v>124</v>
      </c>
      <c r="E126" s="1" t="s">
        <v>727</v>
      </c>
    </row>
    <row r="127" spans="1:5" x14ac:dyDescent="0.25">
      <c r="A127" s="5">
        <v>126</v>
      </c>
      <c r="B127" s="5" t="s">
        <v>189</v>
      </c>
      <c r="D127" s="1">
        <v>125</v>
      </c>
      <c r="E127" s="1" t="s">
        <v>651</v>
      </c>
    </row>
    <row r="128" spans="1:5" x14ac:dyDescent="0.25">
      <c r="A128" s="5">
        <v>127</v>
      </c>
      <c r="B128" s="5" t="s">
        <v>190</v>
      </c>
      <c r="D128" s="1">
        <v>126</v>
      </c>
      <c r="E128" s="1" t="s">
        <v>774</v>
      </c>
    </row>
    <row r="129" spans="1:5" x14ac:dyDescent="0.25">
      <c r="A129" s="5">
        <v>128</v>
      </c>
      <c r="B129" s="5" t="s">
        <v>191</v>
      </c>
      <c r="D129" s="1">
        <v>127</v>
      </c>
      <c r="E129" s="1" t="s">
        <v>629</v>
      </c>
    </row>
    <row r="130" spans="1:5" x14ac:dyDescent="0.25">
      <c r="A130" s="5">
        <v>129</v>
      </c>
      <c r="B130" s="5" t="s">
        <v>192</v>
      </c>
      <c r="D130" s="1">
        <v>128</v>
      </c>
      <c r="E130" s="1" t="s">
        <v>630</v>
      </c>
    </row>
    <row r="131" spans="1:5" x14ac:dyDescent="0.25">
      <c r="A131" s="5">
        <v>130</v>
      </c>
      <c r="B131" s="5" t="s">
        <v>193</v>
      </c>
      <c r="D131" s="1">
        <v>129</v>
      </c>
      <c r="E131" s="1" t="s">
        <v>11</v>
      </c>
    </row>
    <row r="132" spans="1:5" x14ac:dyDescent="0.25">
      <c r="A132" s="5">
        <v>131</v>
      </c>
      <c r="B132" s="5" t="s">
        <v>194</v>
      </c>
      <c r="D132" s="1">
        <v>130</v>
      </c>
      <c r="E132" s="1" t="s">
        <v>671</v>
      </c>
    </row>
    <row r="133" spans="1:5" x14ac:dyDescent="0.25">
      <c r="A133" s="5">
        <v>132</v>
      </c>
      <c r="B133" s="5" t="s">
        <v>195</v>
      </c>
      <c r="D133" s="1">
        <v>131</v>
      </c>
      <c r="E133" s="1" t="s">
        <v>652</v>
      </c>
    </row>
    <row r="134" spans="1:5" x14ac:dyDescent="0.25">
      <c r="A134" s="5">
        <v>133</v>
      </c>
      <c r="B134" s="5" t="s">
        <v>196</v>
      </c>
      <c r="D134" s="1">
        <v>132</v>
      </c>
      <c r="E134" s="1" t="s">
        <v>872</v>
      </c>
    </row>
    <row r="135" spans="1:5" x14ac:dyDescent="0.25">
      <c r="A135" s="5">
        <v>134</v>
      </c>
      <c r="B135" s="5" t="s">
        <v>197</v>
      </c>
      <c r="D135" s="1">
        <v>133</v>
      </c>
      <c r="E135" s="1" t="s">
        <v>952</v>
      </c>
    </row>
    <row r="136" spans="1:5" x14ac:dyDescent="0.25">
      <c r="A136" s="5">
        <v>135</v>
      </c>
      <c r="B136" s="5" t="s">
        <v>198</v>
      </c>
      <c r="D136" s="1">
        <v>134</v>
      </c>
      <c r="E136" s="1" t="s">
        <v>631</v>
      </c>
    </row>
    <row r="137" spans="1:5" x14ac:dyDescent="0.25">
      <c r="A137" s="5">
        <v>136</v>
      </c>
      <c r="B137" s="5" t="s">
        <v>199</v>
      </c>
      <c r="D137" s="1">
        <v>135</v>
      </c>
      <c r="E137" s="1" t="s">
        <v>632</v>
      </c>
    </row>
    <row r="138" spans="1:5" x14ac:dyDescent="0.25">
      <c r="A138" s="5">
        <v>137</v>
      </c>
      <c r="B138" s="5" t="s">
        <v>200</v>
      </c>
      <c r="D138" s="1">
        <v>136</v>
      </c>
      <c r="E138" s="1" t="s">
        <v>653</v>
      </c>
    </row>
    <row r="139" spans="1:5" x14ac:dyDescent="0.25">
      <c r="A139" s="5">
        <v>138</v>
      </c>
      <c r="B139" s="5" t="s">
        <v>201</v>
      </c>
      <c r="D139" s="1">
        <v>137</v>
      </c>
      <c r="E139" s="1" t="s">
        <v>672</v>
      </c>
    </row>
    <row r="140" spans="1:5" x14ac:dyDescent="0.25">
      <c r="A140" s="5">
        <v>139</v>
      </c>
      <c r="B140" s="5" t="s">
        <v>202</v>
      </c>
      <c r="D140" s="1">
        <v>138</v>
      </c>
      <c r="E140" s="1" t="s">
        <v>775</v>
      </c>
    </row>
    <row r="141" spans="1:5" x14ac:dyDescent="0.25">
      <c r="A141" s="5">
        <v>140</v>
      </c>
      <c r="B141" s="5" t="s">
        <v>203</v>
      </c>
      <c r="D141" s="1">
        <v>139</v>
      </c>
      <c r="E141" s="1" t="s">
        <v>805</v>
      </c>
    </row>
    <row r="142" spans="1:5" x14ac:dyDescent="0.25">
      <c r="A142" s="5">
        <v>141</v>
      </c>
      <c r="B142" s="5" t="s">
        <v>204</v>
      </c>
      <c r="D142" s="1">
        <v>140</v>
      </c>
      <c r="E142" s="1" t="s">
        <v>633</v>
      </c>
    </row>
    <row r="143" spans="1:5" x14ac:dyDescent="0.25">
      <c r="A143" s="5">
        <v>142</v>
      </c>
      <c r="B143" s="5" t="s">
        <v>205</v>
      </c>
      <c r="D143" s="1">
        <v>141</v>
      </c>
      <c r="E143" s="1" t="s">
        <v>847</v>
      </c>
    </row>
    <row r="144" spans="1:5" x14ac:dyDescent="0.25">
      <c r="A144" s="5">
        <v>143</v>
      </c>
      <c r="B144" s="5" t="s">
        <v>206</v>
      </c>
      <c r="D144" s="1">
        <v>142</v>
      </c>
      <c r="E144" s="1" t="s">
        <v>634</v>
      </c>
    </row>
    <row r="145" spans="1:5" x14ac:dyDescent="0.25">
      <c r="A145" s="5">
        <v>144</v>
      </c>
      <c r="B145" s="5" t="s">
        <v>207</v>
      </c>
      <c r="D145" s="1">
        <v>143</v>
      </c>
      <c r="E145" s="1" t="s">
        <v>54</v>
      </c>
    </row>
    <row r="146" spans="1:5" x14ac:dyDescent="0.25">
      <c r="A146" s="5">
        <v>145</v>
      </c>
      <c r="B146" s="5" t="s">
        <v>208</v>
      </c>
      <c r="D146" s="1">
        <v>144</v>
      </c>
      <c r="E146" s="1" t="s">
        <v>635</v>
      </c>
    </row>
    <row r="147" spans="1:5" x14ac:dyDescent="0.25">
      <c r="A147" s="5">
        <v>146</v>
      </c>
      <c r="B147" s="5" t="s">
        <v>209</v>
      </c>
      <c r="D147" s="1">
        <v>145</v>
      </c>
      <c r="E147" s="1" t="s">
        <v>939</v>
      </c>
    </row>
    <row r="148" spans="1:5" x14ac:dyDescent="0.25">
      <c r="A148" s="5">
        <v>147</v>
      </c>
      <c r="B148" s="5" t="s">
        <v>210</v>
      </c>
      <c r="D148" s="1">
        <v>146</v>
      </c>
      <c r="E148" s="1" t="s">
        <v>689</v>
      </c>
    </row>
    <row r="149" spans="1:5" x14ac:dyDescent="0.25">
      <c r="A149" s="5">
        <v>148</v>
      </c>
      <c r="B149" s="5" t="s">
        <v>211</v>
      </c>
      <c r="D149" s="1">
        <v>147</v>
      </c>
      <c r="E149" s="1" t="s">
        <v>654</v>
      </c>
    </row>
    <row r="150" spans="1:5" x14ac:dyDescent="0.25">
      <c r="A150" s="5">
        <v>149</v>
      </c>
      <c r="B150" s="5" t="s">
        <v>212</v>
      </c>
      <c r="D150" s="1">
        <v>148</v>
      </c>
      <c r="E150" s="1" t="s">
        <v>594</v>
      </c>
    </row>
    <row r="151" spans="1:5" x14ac:dyDescent="0.25">
      <c r="A151" s="5">
        <v>150</v>
      </c>
      <c r="B151" s="5" t="s">
        <v>213</v>
      </c>
      <c r="D151" s="1">
        <v>149</v>
      </c>
      <c r="E151" s="1" t="s">
        <v>776</v>
      </c>
    </row>
    <row r="152" spans="1:5" x14ac:dyDescent="0.25">
      <c r="A152" s="5">
        <v>151</v>
      </c>
      <c r="B152" s="5" t="s">
        <v>13</v>
      </c>
      <c r="D152" s="1">
        <v>150</v>
      </c>
      <c r="E152" s="1" t="s">
        <v>848</v>
      </c>
    </row>
    <row r="153" spans="1:5" x14ac:dyDescent="0.25">
      <c r="A153" s="5">
        <v>152</v>
      </c>
      <c r="B153" s="5" t="s">
        <v>214</v>
      </c>
      <c r="D153" s="1">
        <v>151</v>
      </c>
      <c r="E153" s="1" t="s">
        <v>690</v>
      </c>
    </row>
    <row r="154" spans="1:5" x14ac:dyDescent="0.25">
      <c r="A154" s="5">
        <v>153</v>
      </c>
      <c r="B154" s="5" t="s">
        <v>215</v>
      </c>
      <c r="D154" s="1">
        <v>152</v>
      </c>
      <c r="E154" s="1" t="s">
        <v>673</v>
      </c>
    </row>
    <row r="155" spans="1:5" x14ac:dyDescent="0.25">
      <c r="A155" s="5">
        <v>154</v>
      </c>
      <c r="B155" s="5" t="s">
        <v>216</v>
      </c>
      <c r="D155" s="1">
        <v>153</v>
      </c>
      <c r="E155" s="1" t="s">
        <v>890</v>
      </c>
    </row>
    <row r="156" spans="1:5" x14ac:dyDescent="0.25">
      <c r="A156" s="5">
        <v>155</v>
      </c>
      <c r="B156" s="5" t="s">
        <v>217</v>
      </c>
      <c r="D156" s="1">
        <v>154</v>
      </c>
      <c r="E156" s="1" t="s">
        <v>953</v>
      </c>
    </row>
    <row r="157" spans="1:5" x14ac:dyDescent="0.25">
      <c r="A157" s="5">
        <v>156</v>
      </c>
      <c r="B157" s="5" t="s">
        <v>218</v>
      </c>
      <c r="D157" s="1">
        <v>155</v>
      </c>
      <c r="E157" s="1" t="s">
        <v>636</v>
      </c>
    </row>
    <row r="158" spans="1:5" x14ac:dyDescent="0.25">
      <c r="A158" s="5">
        <v>157</v>
      </c>
      <c r="B158" s="5" t="s">
        <v>219</v>
      </c>
      <c r="D158" s="1">
        <v>156</v>
      </c>
      <c r="E158" s="1" t="s">
        <v>949</v>
      </c>
    </row>
    <row r="159" spans="1:5" x14ac:dyDescent="0.25">
      <c r="A159" s="5">
        <v>158</v>
      </c>
      <c r="B159" s="5" t="s">
        <v>220</v>
      </c>
      <c r="D159" s="1">
        <v>157</v>
      </c>
      <c r="E159" s="1" t="s">
        <v>806</v>
      </c>
    </row>
    <row r="160" spans="1:5" x14ac:dyDescent="0.25">
      <c r="A160" s="5">
        <v>159</v>
      </c>
      <c r="B160" s="5" t="s">
        <v>221</v>
      </c>
      <c r="D160" s="1">
        <v>158</v>
      </c>
      <c r="E160" s="1" t="s">
        <v>674</v>
      </c>
    </row>
    <row r="161" spans="1:5" x14ac:dyDescent="0.25">
      <c r="A161" s="5">
        <v>160</v>
      </c>
      <c r="B161" s="5" t="s">
        <v>222</v>
      </c>
      <c r="D161" s="1">
        <v>159</v>
      </c>
      <c r="E161" s="1" t="s">
        <v>595</v>
      </c>
    </row>
    <row r="162" spans="1:5" x14ac:dyDescent="0.25">
      <c r="A162" s="5">
        <v>161</v>
      </c>
      <c r="B162" s="5" t="s">
        <v>223</v>
      </c>
      <c r="D162" s="1">
        <v>160</v>
      </c>
      <c r="E162" s="1" t="s">
        <v>655</v>
      </c>
    </row>
    <row r="163" spans="1:5" x14ac:dyDescent="0.25">
      <c r="A163" s="5">
        <v>162</v>
      </c>
      <c r="B163" s="5" t="s">
        <v>224</v>
      </c>
      <c r="D163" s="1">
        <v>161</v>
      </c>
      <c r="E163" s="1" t="s">
        <v>709</v>
      </c>
    </row>
    <row r="164" spans="1:5" x14ac:dyDescent="0.25">
      <c r="A164" s="5">
        <v>163</v>
      </c>
      <c r="B164" s="5" t="s">
        <v>225</v>
      </c>
      <c r="D164" s="1">
        <v>162</v>
      </c>
      <c r="E164" s="1" t="s">
        <v>44</v>
      </c>
    </row>
    <row r="165" spans="1:5" x14ac:dyDescent="0.25">
      <c r="A165" s="5">
        <v>164</v>
      </c>
      <c r="B165" s="5" t="s">
        <v>226</v>
      </c>
      <c r="D165" s="1">
        <v>163</v>
      </c>
      <c r="E165" s="1" t="s">
        <v>965</v>
      </c>
    </row>
    <row r="166" spans="1:5" x14ac:dyDescent="0.25">
      <c r="A166" s="5">
        <v>165</v>
      </c>
      <c r="B166" s="5" t="s">
        <v>227</v>
      </c>
      <c r="D166" s="1">
        <v>164</v>
      </c>
      <c r="E166" s="1" t="s">
        <v>755</v>
      </c>
    </row>
    <row r="167" spans="1:5" x14ac:dyDescent="0.25">
      <c r="A167" s="5">
        <v>166</v>
      </c>
      <c r="B167" s="5" t="s">
        <v>228</v>
      </c>
      <c r="D167" s="1">
        <v>165</v>
      </c>
      <c r="E167" s="1" t="s">
        <v>575</v>
      </c>
    </row>
    <row r="168" spans="1:5" x14ac:dyDescent="0.25">
      <c r="A168" s="5">
        <v>167</v>
      </c>
      <c r="B168" s="5" t="s">
        <v>229</v>
      </c>
      <c r="D168" s="1">
        <v>166</v>
      </c>
      <c r="E168" s="1" t="s">
        <v>777</v>
      </c>
    </row>
    <row r="169" spans="1:5" x14ac:dyDescent="0.25">
      <c r="A169" s="5">
        <v>168</v>
      </c>
      <c r="B169" s="5" t="s">
        <v>230</v>
      </c>
      <c r="D169" s="1">
        <v>167</v>
      </c>
      <c r="E169" s="1" t="s">
        <v>596</v>
      </c>
    </row>
    <row r="170" spans="1:5" x14ac:dyDescent="0.25">
      <c r="A170" s="5">
        <v>169</v>
      </c>
      <c r="B170" s="5" t="s">
        <v>231</v>
      </c>
      <c r="D170" s="1">
        <v>168</v>
      </c>
      <c r="E170" s="1" t="s">
        <v>637</v>
      </c>
    </row>
    <row r="171" spans="1:5" x14ac:dyDescent="0.25">
      <c r="A171" s="5">
        <v>170</v>
      </c>
      <c r="B171" s="5" t="s">
        <v>232</v>
      </c>
      <c r="D171" s="1">
        <v>169</v>
      </c>
      <c r="E171" s="1" t="s">
        <v>638</v>
      </c>
    </row>
    <row r="172" spans="1:5" x14ac:dyDescent="0.25">
      <c r="A172" s="5">
        <v>171</v>
      </c>
      <c r="B172" s="5" t="s">
        <v>233</v>
      </c>
      <c r="D172" s="1">
        <v>170</v>
      </c>
      <c r="E172" s="1" t="s">
        <v>756</v>
      </c>
    </row>
    <row r="173" spans="1:5" x14ac:dyDescent="0.25">
      <c r="A173" s="5">
        <v>172</v>
      </c>
      <c r="B173" s="5" t="s">
        <v>14</v>
      </c>
      <c r="D173" s="1">
        <v>171</v>
      </c>
      <c r="E173" s="1" t="s">
        <v>691</v>
      </c>
    </row>
    <row r="174" spans="1:5" x14ac:dyDescent="0.25">
      <c r="A174" s="5">
        <v>173</v>
      </c>
      <c r="B174" s="5" t="s">
        <v>234</v>
      </c>
      <c r="D174" s="1">
        <v>172</v>
      </c>
      <c r="E174" s="1" t="s">
        <v>757</v>
      </c>
    </row>
    <row r="175" spans="1:5" x14ac:dyDescent="0.25">
      <c r="A175" s="5">
        <v>174</v>
      </c>
      <c r="B175" s="5" t="s">
        <v>235</v>
      </c>
      <c r="D175" s="1">
        <v>173</v>
      </c>
      <c r="E175" s="1" t="s">
        <v>10</v>
      </c>
    </row>
    <row r="176" spans="1:5" x14ac:dyDescent="0.25">
      <c r="A176" s="5">
        <v>175</v>
      </c>
      <c r="B176" s="5" t="s">
        <v>236</v>
      </c>
      <c r="D176" s="1">
        <v>174</v>
      </c>
      <c r="E176" s="1" t="s">
        <v>902</v>
      </c>
    </row>
    <row r="177" spans="1:5" x14ac:dyDescent="0.25">
      <c r="A177" s="5">
        <v>176</v>
      </c>
      <c r="B177" s="5" t="s">
        <v>237</v>
      </c>
      <c r="D177" s="1">
        <v>175</v>
      </c>
      <c r="E177" s="1" t="s">
        <v>928</v>
      </c>
    </row>
    <row r="178" spans="1:5" x14ac:dyDescent="0.25">
      <c r="A178" s="5">
        <v>177</v>
      </c>
      <c r="B178" s="5" t="s">
        <v>238</v>
      </c>
      <c r="D178" s="1">
        <v>176</v>
      </c>
      <c r="E178" s="1" t="s">
        <v>656</v>
      </c>
    </row>
    <row r="179" spans="1:5" x14ac:dyDescent="0.25">
      <c r="A179" s="5">
        <v>178</v>
      </c>
      <c r="B179" s="5" t="s">
        <v>239</v>
      </c>
      <c r="D179" s="1">
        <v>177</v>
      </c>
      <c r="E179" s="1" t="s">
        <v>597</v>
      </c>
    </row>
    <row r="180" spans="1:5" x14ac:dyDescent="0.25">
      <c r="A180" s="5">
        <v>179</v>
      </c>
      <c r="B180" s="5" t="s">
        <v>240</v>
      </c>
      <c r="D180" s="1">
        <v>178</v>
      </c>
      <c r="E180" s="1" t="s">
        <v>739</v>
      </c>
    </row>
    <row r="181" spans="1:5" x14ac:dyDescent="0.25">
      <c r="A181" s="5">
        <v>180</v>
      </c>
      <c r="B181" s="5" t="s">
        <v>241</v>
      </c>
      <c r="D181" s="1">
        <v>179</v>
      </c>
      <c r="E181" s="1" t="s">
        <v>778</v>
      </c>
    </row>
    <row r="182" spans="1:5" x14ac:dyDescent="0.25">
      <c r="A182" s="5">
        <v>181</v>
      </c>
      <c r="B182" s="5" t="s">
        <v>242</v>
      </c>
      <c r="D182" s="1">
        <v>180</v>
      </c>
      <c r="E182" s="1" t="s">
        <v>26</v>
      </c>
    </row>
    <row r="183" spans="1:5" x14ac:dyDescent="0.25">
      <c r="A183" s="5">
        <v>182</v>
      </c>
      <c r="B183" s="5" t="s">
        <v>243</v>
      </c>
      <c r="D183" s="1">
        <v>181</v>
      </c>
      <c r="E183" s="1" t="s">
        <v>874</v>
      </c>
    </row>
    <row r="184" spans="1:5" x14ac:dyDescent="0.25">
      <c r="A184" s="5">
        <v>183</v>
      </c>
      <c r="B184" s="5" t="s">
        <v>244</v>
      </c>
      <c r="D184" s="1">
        <v>182</v>
      </c>
      <c r="E184" s="1" t="s">
        <v>955</v>
      </c>
    </row>
    <row r="185" spans="1:5" x14ac:dyDescent="0.25">
      <c r="A185" s="5">
        <v>184</v>
      </c>
      <c r="B185" s="5" t="s">
        <v>245</v>
      </c>
      <c r="D185" s="1">
        <v>183</v>
      </c>
      <c r="E185" s="1" t="s">
        <v>710</v>
      </c>
    </row>
    <row r="186" spans="1:5" x14ac:dyDescent="0.25">
      <c r="A186" s="5">
        <v>185</v>
      </c>
      <c r="B186" s="5" t="s">
        <v>246</v>
      </c>
      <c r="D186" s="1">
        <v>184</v>
      </c>
      <c r="E186" s="1" t="s">
        <v>969</v>
      </c>
    </row>
    <row r="187" spans="1:5" x14ac:dyDescent="0.25">
      <c r="A187" s="5">
        <v>186</v>
      </c>
      <c r="B187" s="5" t="s">
        <v>247</v>
      </c>
      <c r="D187" s="1">
        <v>185</v>
      </c>
      <c r="E187" s="1" t="s">
        <v>961</v>
      </c>
    </row>
    <row r="188" spans="1:5" x14ac:dyDescent="0.25">
      <c r="A188" s="5">
        <v>187</v>
      </c>
      <c r="B188" s="5" t="s">
        <v>248</v>
      </c>
      <c r="D188" s="1">
        <v>186</v>
      </c>
      <c r="E188" s="1" t="s">
        <v>807</v>
      </c>
    </row>
    <row r="189" spans="1:5" x14ac:dyDescent="0.25">
      <c r="A189" s="5">
        <v>188</v>
      </c>
      <c r="B189" s="5" t="s">
        <v>249</v>
      </c>
      <c r="D189" s="1">
        <v>187</v>
      </c>
      <c r="E189" s="1" t="s">
        <v>728</v>
      </c>
    </row>
    <row r="190" spans="1:5" x14ac:dyDescent="0.25">
      <c r="A190" s="5">
        <v>189</v>
      </c>
      <c r="B190" s="5" t="s">
        <v>250</v>
      </c>
      <c r="D190" s="1">
        <v>188</v>
      </c>
      <c r="E190" s="1" t="s">
        <v>740</v>
      </c>
    </row>
    <row r="191" spans="1:5" x14ac:dyDescent="0.25">
      <c r="A191" s="5">
        <v>190</v>
      </c>
      <c r="B191" s="5" t="s">
        <v>251</v>
      </c>
      <c r="D191" s="1">
        <v>189</v>
      </c>
      <c r="E191" s="1" t="s">
        <v>7</v>
      </c>
    </row>
    <row r="192" spans="1:5" x14ac:dyDescent="0.25">
      <c r="A192" s="5">
        <v>191</v>
      </c>
      <c r="B192" s="5" t="s">
        <v>252</v>
      </c>
      <c r="D192" s="1">
        <v>190</v>
      </c>
      <c r="E192" s="1" t="s">
        <v>598</v>
      </c>
    </row>
    <row r="193" spans="1:5" x14ac:dyDescent="0.25">
      <c r="A193" s="5">
        <v>192</v>
      </c>
      <c r="B193" s="5" t="s">
        <v>253</v>
      </c>
      <c r="D193" s="1">
        <v>191</v>
      </c>
      <c r="E193" s="1" t="s">
        <v>741</v>
      </c>
    </row>
    <row r="194" spans="1:5" x14ac:dyDescent="0.25">
      <c r="A194" s="5">
        <v>193</v>
      </c>
      <c r="B194" s="5" t="s">
        <v>254</v>
      </c>
      <c r="D194" s="1">
        <v>192</v>
      </c>
      <c r="E194" s="1" t="s">
        <v>815</v>
      </c>
    </row>
    <row r="195" spans="1:5" x14ac:dyDescent="0.25">
      <c r="A195" s="5">
        <v>194</v>
      </c>
      <c r="B195" s="5" t="s">
        <v>255</v>
      </c>
      <c r="D195" s="1">
        <v>193</v>
      </c>
      <c r="E195" s="1" t="s">
        <v>923</v>
      </c>
    </row>
    <row r="196" spans="1:5" x14ac:dyDescent="0.25">
      <c r="A196" s="5">
        <v>195</v>
      </c>
      <c r="B196" s="5" t="s">
        <v>256</v>
      </c>
      <c r="D196" s="1">
        <v>194</v>
      </c>
      <c r="E196" s="1" t="s">
        <v>829</v>
      </c>
    </row>
    <row r="197" spans="1:5" x14ac:dyDescent="0.25">
      <c r="A197" s="5">
        <v>196</v>
      </c>
      <c r="B197" s="5" t="s">
        <v>257</v>
      </c>
      <c r="D197" s="1">
        <v>195</v>
      </c>
      <c r="E197" s="1" t="s">
        <v>792</v>
      </c>
    </row>
    <row r="198" spans="1:5" x14ac:dyDescent="0.25">
      <c r="A198" s="5">
        <v>197</v>
      </c>
      <c r="B198" s="5" t="s">
        <v>258</v>
      </c>
      <c r="D198" s="1">
        <v>196</v>
      </c>
      <c r="E198" s="1" t="s">
        <v>18</v>
      </c>
    </row>
    <row r="199" spans="1:5" x14ac:dyDescent="0.25">
      <c r="A199" s="5">
        <v>198</v>
      </c>
      <c r="B199" s="5" t="s">
        <v>259</v>
      </c>
      <c r="D199" s="1">
        <v>197</v>
      </c>
      <c r="E199" s="1" t="s">
        <v>863</v>
      </c>
    </row>
    <row r="200" spans="1:5" x14ac:dyDescent="0.25">
      <c r="A200" s="5">
        <v>199</v>
      </c>
      <c r="B200" s="5" t="s">
        <v>260</v>
      </c>
      <c r="D200" s="1">
        <v>198</v>
      </c>
      <c r="E200" s="1" t="s">
        <v>657</v>
      </c>
    </row>
    <row r="201" spans="1:5" x14ac:dyDescent="0.25">
      <c r="A201" s="5">
        <v>200</v>
      </c>
      <c r="B201" s="5" t="s">
        <v>261</v>
      </c>
      <c r="D201" s="1">
        <v>199</v>
      </c>
      <c r="E201" s="1" t="s">
        <v>808</v>
      </c>
    </row>
    <row r="202" spans="1:5" x14ac:dyDescent="0.25">
      <c r="A202" s="5">
        <v>201</v>
      </c>
      <c r="B202" s="5" t="s">
        <v>262</v>
      </c>
      <c r="D202" s="1">
        <v>200</v>
      </c>
      <c r="E202" s="1" t="s">
        <v>29</v>
      </c>
    </row>
    <row r="203" spans="1:5" x14ac:dyDescent="0.25">
      <c r="A203" s="5">
        <v>202</v>
      </c>
      <c r="B203" s="5" t="s">
        <v>263</v>
      </c>
      <c r="D203" s="1">
        <v>201</v>
      </c>
      <c r="E203" s="1" t="s">
        <v>891</v>
      </c>
    </row>
    <row r="204" spans="1:5" x14ac:dyDescent="0.25">
      <c r="A204" s="5">
        <v>203</v>
      </c>
      <c r="B204" s="5" t="s">
        <v>264</v>
      </c>
      <c r="D204" s="1">
        <v>202</v>
      </c>
      <c r="E204" s="1" t="s">
        <v>864</v>
      </c>
    </row>
    <row r="205" spans="1:5" x14ac:dyDescent="0.25">
      <c r="A205" s="5">
        <v>204</v>
      </c>
      <c r="B205" s="5" t="s">
        <v>265</v>
      </c>
      <c r="D205" s="1">
        <v>203</v>
      </c>
      <c r="E205" s="1" t="s">
        <v>881</v>
      </c>
    </row>
    <row r="206" spans="1:5" x14ac:dyDescent="0.25">
      <c r="A206" s="5">
        <v>205</v>
      </c>
      <c r="B206" s="5" t="s">
        <v>266</v>
      </c>
      <c r="D206" s="1">
        <v>204</v>
      </c>
      <c r="E206" s="1" t="s">
        <v>929</v>
      </c>
    </row>
    <row r="207" spans="1:5" x14ac:dyDescent="0.25">
      <c r="A207" s="5">
        <v>206</v>
      </c>
      <c r="B207" s="5" t="s">
        <v>267</v>
      </c>
      <c r="D207" s="1">
        <v>205</v>
      </c>
      <c r="E207" s="1" t="s">
        <v>8</v>
      </c>
    </row>
    <row r="208" spans="1:5" x14ac:dyDescent="0.25">
      <c r="A208" s="5">
        <v>207</v>
      </c>
      <c r="B208" s="5" t="s">
        <v>268</v>
      </c>
      <c r="D208" s="1">
        <v>206</v>
      </c>
      <c r="E208" s="1" t="s">
        <v>779</v>
      </c>
    </row>
    <row r="209" spans="1:5" x14ac:dyDescent="0.25">
      <c r="A209" s="5">
        <v>208</v>
      </c>
      <c r="B209" s="5" t="s">
        <v>269</v>
      </c>
      <c r="D209" s="1">
        <v>207</v>
      </c>
      <c r="E209" s="1" t="s">
        <v>942</v>
      </c>
    </row>
    <row r="210" spans="1:5" x14ac:dyDescent="0.25">
      <c r="A210" s="5">
        <v>209</v>
      </c>
      <c r="B210" s="5" t="s">
        <v>270</v>
      </c>
      <c r="D210" s="1">
        <v>208</v>
      </c>
      <c r="E210" s="1" t="s">
        <v>599</v>
      </c>
    </row>
    <row r="211" spans="1:5" x14ac:dyDescent="0.25">
      <c r="A211" s="5">
        <v>210</v>
      </c>
      <c r="B211" s="5" t="s">
        <v>271</v>
      </c>
      <c r="D211" s="1">
        <v>209</v>
      </c>
      <c r="E211" s="1" t="s">
        <v>873</v>
      </c>
    </row>
    <row r="212" spans="1:5" x14ac:dyDescent="0.25">
      <c r="A212" s="5">
        <v>211</v>
      </c>
      <c r="B212" s="5" t="s">
        <v>272</v>
      </c>
      <c r="D212" s="1">
        <v>210</v>
      </c>
      <c r="E212" s="1" t="s">
        <v>17</v>
      </c>
    </row>
    <row r="213" spans="1:5" x14ac:dyDescent="0.25">
      <c r="A213" s="5">
        <v>212</v>
      </c>
      <c r="B213" s="5" t="s">
        <v>273</v>
      </c>
      <c r="D213" s="1">
        <v>211</v>
      </c>
      <c r="E213" s="1" t="s">
        <v>600</v>
      </c>
    </row>
    <row r="214" spans="1:5" x14ac:dyDescent="0.25">
      <c r="A214" s="5">
        <v>213</v>
      </c>
      <c r="B214" s="5" t="s">
        <v>274</v>
      </c>
      <c r="D214" s="1">
        <v>212</v>
      </c>
      <c r="E214" s="1" t="s">
        <v>849</v>
      </c>
    </row>
    <row r="215" spans="1:5" x14ac:dyDescent="0.25">
      <c r="A215" s="5">
        <v>214</v>
      </c>
      <c r="B215" s="5" t="s">
        <v>275</v>
      </c>
      <c r="D215" s="1">
        <v>213</v>
      </c>
      <c r="E215" s="1" t="s">
        <v>566</v>
      </c>
    </row>
    <row r="216" spans="1:5" x14ac:dyDescent="0.25">
      <c r="A216" s="5">
        <v>215</v>
      </c>
      <c r="B216" s="5" t="s">
        <v>276</v>
      </c>
      <c r="D216" s="1">
        <v>214</v>
      </c>
      <c r="E216" s="1" t="s">
        <v>675</v>
      </c>
    </row>
    <row r="217" spans="1:5" x14ac:dyDescent="0.25">
      <c r="A217" s="5">
        <v>216</v>
      </c>
      <c r="B217" s="5" t="s">
        <v>277</v>
      </c>
      <c r="D217" s="1">
        <v>215</v>
      </c>
      <c r="E217" s="1" t="s">
        <v>52</v>
      </c>
    </row>
    <row r="218" spans="1:5" x14ac:dyDescent="0.25">
      <c r="A218" s="5">
        <v>217</v>
      </c>
      <c r="B218" s="5" t="s">
        <v>278</v>
      </c>
      <c r="D218" s="1">
        <v>216</v>
      </c>
      <c r="E218" s="1" t="s">
        <v>601</v>
      </c>
    </row>
    <row r="219" spans="1:5" x14ac:dyDescent="0.25">
      <c r="A219" s="5">
        <v>218</v>
      </c>
      <c r="B219" s="5" t="s">
        <v>279</v>
      </c>
      <c r="D219" s="1">
        <v>217</v>
      </c>
      <c r="E219" s="1" t="s">
        <v>602</v>
      </c>
    </row>
    <row r="220" spans="1:5" x14ac:dyDescent="0.25">
      <c r="A220" s="5">
        <v>219</v>
      </c>
      <c r="B220" s="5" t="s">
        <v>280</v>
      </c>
      <c r="D220" s="1">
        <v>218</v>
      </c>
      <c r="E220" s="1" t="s">
        <v>603</v>
      </c>
    </row>
    <row r="221" spans="1:5" x14ac:dyDescent="0.25">
      <c r="A221" s="5">
        <v>220</v>
      </c>
      <c r="B221" s="5" t="s">
        <v>281</v>
      </c>
      <c r="D221" s="1">
        <v>219</v>
      </c>
      <c r="E221" s="1" t="s">
        <v>954</v>
      </c>
    </row>
    <row r="222" spans="1:5" x14ac:dyDescent="0.25">
      <c r="A222" s="5">
        <v>221</v>
      </c>
      <c r="B222" s="5" t="s">
        <v>282</v>
      </c>
      <c r="D222" s="1">
        <v>220</v>
      </c>
      <c r="E222" s="1" t="s">
        <v>45</v>
      </c>
    </row>
    <row r="223" spans="1:5" x14ac:dyDescent="0.25">
      <c r="A223" s="5">
        <v>222</v>
      </c>
      <c r="B223" s="5" t="s">
        <v>283</v>
      </c>
      <c r="D223" s="1">
        <v>221</v>
      </c>
      <c r="E223" s="1" t="s">
        <v>604</v>
      </c>
    </row>
    <row r="224" spans="1:5" x14ac:dyDescent="0.25">
      <c r="A224" s="5">
        <v>223</v>
      </c>
      <c r="B224" s="5" t="s">
        <v>284</v>
      </c>
      <c r="D224" s="1">
        <v>222</v>
      </c>
      <c r="E224" s="1" t="s">
        <v>793</v>
      </c>
    </row>
    <row r="225" spans="1:5" x14ac:dyDescent="0.25">
      <c r="A225" s="5">
        <v>224</v>
      </c>
      <c r="B225" s="5" t="s">
        <v>285</v>
      </c>
      <c r="D225" s="1">
        <v>223</v>
      </c>
      <c r="E225" s="1" t="s">
        <v>568</v>
      </c>
    </row>
    <row r="226" spans="1:5" x14ac:dyDescent="0.25">
      <c r="A226" s="5">
        <v>225</v>
      </c>
      <c r="B226" s="5" t="s">
        <v>286</v>
      </c>
      <c r="D226" s="1">
        <v>224</v>
      </c>
      <c r="E226" s="1" t="s">
        <v>742</v>
      </c>
    </row>
    <row r="227" spans="1:5" x14ac:dyDescent="0.25">
      <c r="A227" s="5">
        <v>226</v>
      </c>
      <c r="B227" s="5" t="s">
        <v>287</v>
      </c>
      <c r="D227" s="1">
        <v>225</v>
      </c>
      <c r="E227" s="1" t="s">
        <v>830</v>
      </c>
    </row>
    <row r="228" spans="1:5" x14ac:dyDescent="0.25">
      <c r="A228" s="5">
        <v>227</v>
      </c>
      <c r="B228" s="5" t="s">
        <v>288</v>
      </c>
      <c r="D228" s="1">
        <v>226</v>
      </c>
      <c r="E228" s="1" t="s">
        <v>916</v>
      </c>
    </row>
    <row r="229" spans="1:5" x14ac:dyDescent="0.25">
      <c r="A229" s="5">
        <v>228</v>
      </c>
      <c r="B229" s="5" t="s">
        <v>289</v>
      </c>
      <c r="D229" s="1">
        <v>227</v>
      </c>
      <c r="E229" s="1" t="s">
        <v>917</v>
      </c>
    </row>
    <row r="230" spans="1:5" x14ac:dyDescent="0.25">
      <c r="A230" s="5">
        <v>229</v>
      </c>
      <c r="B230" s="5" t="s">
        <v>290</v>
      </c>
      <c r="D230" s="1">
        <v>228</v>
      </c>
      <c r="E230" s="1" t="s">
        <v>956</v>
      </c>
    </row>
    <row r="231" spans="1:5" x14ac:dyDescent="0.25">
      <c r="A231" s="5">
        <v>230</v>
      </c>
      <c r="B231" s="5" t="s">
        <v>291</v>
      </c>
      <c r="D231" s="1">
        <v>229</v>
      </c>
      <c r="E231" s="1" t="s">
        <v>850</v>
      </c>
    </row>
    <row r="232" spans="1:5" x14ac:dyDescent="0.25">
      <c r="A232" s="5">
        <v>231</v>
      </c>
      <c r="B232" s="5" t="s">
        <v>292</v>
      </c>
      <c r="D232" s="1">
        <v>230</v>
      </c>
      <c r="E232" s="1" t="s">
        <v>934</v>
      </c>
    </row>
    <row r="233" spans="1:5" x14ac:dyDescent="0.25">
      <c r="A233" s="5">
        <v>232</v>
      </c>
      <c r="B233" s="5" t="s">
        <v>293</v>
      </c>
      <c r="D233" s="1">
        <v>231</v>
      </c>
      <c r="E233" s="1" t="s">
        <v>569</v>
      </c>
    </row>
    <row r="234" spans="1:5" x14ac:dyDescent="0.25">
      <c r="A234" s="5">
        <v>233</v>
      </c>
      <c r="B234" s="5" t="s">
        <v>294</v>
      </c>
      <c r="D234" s="1">
        <v>232</v>
      </c>
      <c r="E234" s="1" t="s">
        <v>882</v>
      </c>
    </row>
    <row r="235" spans="1:5" x14ac:dyDescent="0.25">
      <c r="A235" s="5">
        <v>234</v>
      </c>
      <c r="B235" s="5" t="s">
        <v>295</v>
      </c>
      <c r="D235" s="1">
        <v>233</v>
      </c>
      <c r="E235" s="1" t="s">
        <v>711</v>
      </c>
    </row>
    <row r="236" spans="1:5" x14ac:dyDescent="0.25">
      <c r="A236" s="5">
        <v>235</v>
      </c>
      <c r="B236" s="5" t="s">
        <v>296</v>
      </c>
      <c r="D236" s="1">
        <v>234</v>
      </c>
      <c r="E236" s="1" t="s">
        <v>639</v>
      </c>
    </row>
    <row r="237" spans="1:5" x14ac:dyDescent="0.25">
      <c r="A237" s="5">
        <v>236</v>
      </c>
      <c r="B237" s="5" t="s">
        <v>297</v>
      </c>
      <c r="D237" s="1">
        <v>235</v>
      </c>
      <c r="E237" s="1" t="s">
        <v>30</v>
      </c>
    </row>
    <row r="238" spans="1:5" x14ac:dyDescent="0.25">
      <c r="A238" s="5">
        <v>237</v>
      </c>
      <c r="B238" s="5" t="s">
        <v>298</v>
      </c>
      <c r="D238" s="1">
        <v>236</v>
      </c>
      <c r="E238" s="1" t="s">
        <v>743</v>
      </c>
    </row>
    <row r="239" spans="1:5" x14ac:dyDescent="0.25">
      <c r="A239" s="5">
        <v>238</v>
      </c>
      <c r="B239" s="5" t="s">
        <v>299</v>
      </c>
      <c r="D239" s="1">
        <v>237</v>
      </c>
      <c r="E239" s="1" t="s">
        <v>794</v>
      </c>
    </row>
    <row r="240" spans="1:5" x14ac:dyDescent="0.25">
      <c r="A240" s="5">
        <v>239</v>
      </c>
      <c r="B240" s="5" t="s">
        <v>300</v>
      </c>
      <c r="D240" s="1">
        <v>238</v>
      </c>
      <c r="E240" s="1" t="s">
        <v>692</v>
      </c>
    </row>
    <row r="241" spans="1:5" x14ac:dyDescent="0.25">
      <c r="A241" s="5">
        <v>240</v>
      </c>
      <c r="B241" s="5" t="s">
        <v>301</v>
      </c>
      <c r="D241" s="1">
        <v>239</v>
      </c>
      <c r="E241" s="1" t="s">
        <v>35</v>
      </c>
    </row>
    <row r="242" spans="1:5" x14ac:dyDescent="0.25">
      <c r="A242" s="5">
        <v>241</v>
      </c>
      <c r="B242" s="5" t="s">
        <v>302</v>
      </c>
      <c r="D242" s="1">
        <v>240</v>
      </c>
      <c r="E242" s="1" t="s">
        <v>930</v>
      </c>
    </row>
    <row r="243" spans="1:5" x14ac:dyDescent="0.25">
      <c r="A243" s="5">
        <v>242</v>
      </c>
      <c r="B243" s="5" t="s">
        <v>303</v>
      </c>
      <c r="D243" s="1">
        <v>241</v>
      </c>
      <c r="E243" s="1" t="s">
        <v>831</v>
      </c>
    </row>
    <row r="244" spans="1:5" x14ac:dyDescent="0.25">
      <c r="A244" s="5">
        <v>243</v>
      </c>
      <c r="B244" s="5" t="s">
        <v>304</v>
      </c>
      <c r="D244" s="1">
        <v>242</v>
      </c>
      <c r="E244" s="1" t="s">
        <v>970</v>
      </c>
    </row>
    <row r="245" spans="1:5" x14ac:dyDescent="0.25">
      <c r="A245" s="5">
        <v>244</v>
      </c>
      <c r="B245" s="5" t="s">
        <v>305</v>
      </c>
      <c r="D245" s="1">
        <v>243</v>
      </c>
      <c r="E245" s="1" t="s">
        <v>780</v>
      </c>
    </row>
    <row r="246" spans="1:5" x14ac:dyDescent="0.25">
      <c r="A246" s="5">
        <v>245</v>
      </c>
      <c r="B246" s="5" t="s">
        <v>306</v>
      </c>
      <c r="D246" s="1">
        <v>244</v>
      </c>
      <c r="E246" s="1" t="s">
        <v>832</v>
      </c>
    </row>
    <row r="247" spans="1:5" x14ac:dyDescent="0.25">
      <c r="A247" s="5">
        <v>246</v>
      </c>
      <c r="B247" s="5" t="s">
        <v>307</v>
      </c>
      <c r="D247" s="1">
        <v>245</v>
      </c>
      <c r="E247" s="1" t="s">
        <v>712</v>
      </c>
    </row>
    <row r="248" spans="1:5" x14ac:dyDescent="0.25">
      <c r="A248" s="5">
        <v>247</v>
      </c>
      <c r="B248" s="5" t="s">
        <v>308</v>
      </c>
      <c r="D248" s="1">
        <v>246</v>
      </c>
      <c r="E248" s="1" t="s">
        <v>964</v>
      </c>
    </row>
    <row r="249" spans="1:5" x14ac:dyDescent="0.25">
      <c r="A249" s="5">
        <v>248</v>
      </c>
      <c r="B249" s="5" t="s">
        <v>309</v>
      </c>
      <c r="D249" s="1">
        <v>247</v>
      </c>
      <c r="E249" s="1" t="s">
        <v>567</v>
      </c>
    </row>
    <row r="250" spans="1:5" x14ac:dyDescent="0.25">
      <c r="A250" s="5">
        <v>249</v>
      </c>
      <c r="B250" s="5" t="s">
        <v>310</v>
      </c>
      <c r="D250" s="1">
        <v>248</v>
      </c>
      <c r="E250" s="1" t="s">
        <v>940</v>
      </c>
    </row>
    <row r="251" spans="1:5" x14ac:dyDescent="0.25">
      <c r="A251" s="5">
        <v>250</v>
      </c>
      <c r="B251" s="5" t="s">
        <v>311</v>
      </c>
      <c r="D251" s="1">
        <v>249</v>
      </c>
      <c r="E251" s="1" t="s">
        <v>576</v>
      </c>
    </row>
    <row r="252" spans="1:5" x14ac:dyDescent="0.25">
      <c r="A252" s="5">
        <v>251</v>
      </c>
      <c r="B252" s="5" t="s">
        <v>312</v>
      </c>
      <c r="D252" s="1">
        <v>250</v>
      </c>
      <c r="E252" s="1" t="s">
        <v>865</v>
      </c>
    </row>
    <row r="253" spans="1:5" x14ac:dyDescent="0.25">
      <c r="A253" s="5">
        <v>252</v>
      </c>
      <c r="B253" s="5" t="s">
        <v>313</v>
      </c>
      <c r="D253" s="1">
        <v>251</v>
      </c>
      <c r="E253" s="1" t="s">
        <v>658</v>
      </c>
    </row>
    <row r="254" spans="1:5" x14ac:dyDescent="0.25">
      <c r="A254" s="5">
        <v>253</v>
      </c>
      <c r="B254" s="5" t="s">
        <v>314</v>
      </c>
      <c r="D254" s="1">
        <v>252</v>
      </c>
      <c r="E254" s="1" t="s">
        <v>833</v>
      </c>
    </row>
    <row r="255" spans="1:5" x14ac:dyDescent="0.25">
      <c r="A255" s="5">
        <v>254</v>
      </c>
      <c r="B255" s="5" t="s">
        <v>315</v>
      </c>
      <c r="D255" s="1">
        <v>253</v>
      </c>
      <c r="E255" s="1" t="s">
        <v>12</v>
      </c>
    </row>
    <row r="256" spans="1:5" x14ac:dyDescent="0.25">
      <c r="A256" s="5">
        <v>255</v>
      </c>
      <c r="B256" s="5" t="s">
        <v>316</v>
      </c>
      <c r="D256" s="1">
        <v>254</v>
      </c>
      <c r="E256" s="1" t="s">
        <v>851</v>
      </c>
    </row>
    <row r="257" spans="1:5" x14ac:dyDescent="0.25">
      <c r="A257" s="5">
        <v>256</v>
      </c>
      <c r="B257" s="5" t="s">
        <v>317</v>
      </c>
      <c r="D257" s="1">
        <v>255</v>
      </c>
      <c r="E257" s="1" t="s">
        <v>834</v>
      </c>
    </row>
    <row r="258" spans="1:5" x14ac:dyDescent="0.25">
      <c r="A258" s="5">
        <v>257</v>
      </c>
      <c r="B258" s="5" t="s">
        <v>318</v>
      </c>
      <c r="D258" s="1">
        <v>256</v>
      </c>
      <c r="E258" s="1" t="s">
        <v>835</v>
      </c>
    </row>
    <row r="259" spans="1:5" x14ac:dyDescent="0.25">
      <c r="A259" s="5">
        <v>258</v>
      </c>
      <c r="B259" s="5" t="s">
        <v>319</v>
      </c>
      <c r="D259" s="1">
        <v>257</v>
      </c>
      <c r="E259" s="1" t="s">
        <v>41</v>
      </c>
    </row>
    <row r="260" spans="1:5" x14ac:dyDescent="0.25">
      <c r="A260" s="5">
        <v>259</v>
      </c>
      <c r="B260" s="5" t="s">
        <v>320</v>
      </c>
      <c r="D260" s="1">
        <v>258</v>
      </c>
      <c r="E260" s="1" t="s">
        <v>781</v>
      </c>
    </row>
    <row r="261" spans="1:5" x14ac:dyDescent="0.25">
      <c r="A261" s="5">
        <v>260</v>
      </c>
      <c r="B261" s="5" t="s">
        <v>321</v>
      </c>
      <c r="D261" s="1">
        <v>259</v>
      </c>
      <c r="E261" s="1" t="s">
        <v>659</v>
      </c>
    </row>
    <row r="262" spans="1:5" x14ac:dyDescent="0.25">
      <c r="A262" s="5">
        <v>261</v>
      </c>
      <c r="B262" s="5" t="s">
        <v>322</v>
      </c>
      <c r="D262" s="1">
        <v>260</v>
      </c>
      <c r="E262" s="1" t="s">
        <v>729</v>
      </c>
    </row>
    <row r="263" spans="1:5" x14ac:dyDescent="0.25">
      <c r="A263" s="5">
        <v>262</v>
      </c>
      <c r="B263" s="5" t="s">
        <v>323</v>
      </c>
      <c r="D263" s="1">
        <v>261</v>
      </c>
      <c r="E263" s="1" t="s">
        <v>713</v>
      </c>
    </row>
    <row r="264" spans="1:5" x14ac:dyDescent="0.25">
      <c r="A264" s="5">
        <v>263</v>
      </c>
      <c r="B264" s="5" t="s">
        <v>324</v>
      </c>
      <c r="D264" s="1">
        <v>262</v>
      </c>
      <c r="E264" s="1" t="s">
        <v>809</v>
      </c>
    </row>
    <row r="265" spans="1:5" x14ac:dyDescent="0.25">
      <c r="A265" s="5">
        <v>264</v>
      </c>
      <c r="B265" s="5" t="s">
        <v>325</v>
      </c>
      <c r="D265" s="1">
        <v>263</v>
      </c>
      <c r="E265" s="1" t="s">
        <v>605</v>
      </c>
    </row>
    <row r="266" spans="1:5" x14ac:dyDescent="0.25">
      <c r="A266" s="5">
        <v>265</v>
      </c>
      <c r="B266" s="5" t="s">
        <v>326</v>
      </c>
      <c r="D266" s="1">
        <v>264</v>
      </c>
      <c r="E266" s="1" t="s">
        <v>606</v>
      </c>
    </row>
    <row r="267" spans="1:5" x14ac:dyDescent="0.25">
      <c r="A267" s="5">
        <v>266</v>
      </c>
      <c r="B267" s="5" t="s">
        <v>327</v>
      </c>
      <c r="D267" s="1">
        <v>265</v>
      </c>
      <c r="E267" s="1" t="s">
        <v>640</v>
      </c>
    </row>
    <row r="268" spans="1:5" x14ac:dyDescent="0.25">
      <c r="A268" s="5">
        <v>267</v>
      </c>
      <c r="B268" s="5" t="s">
        <v>328</v>
      </c>
      <c r="D268" s="1">
        <v>266</v>
      </c>
      <c r="E268" s="1" t="s">
        <v>693</v>
      </c>
    </row>
    <row r="269" spans="1:5" x14ac:dyDescent="0.25">
      <c r="A269" s="5">
        <v>268</v>
      </c>
      <c r="B269" s="5" t="s">
        <v>329</v>
      </c>
      <c r="D269" s="1">
        <v>267</v>
      </c>
      <c r="E269" s="1" t="s">
        <v>694</v>
      </c>
    </row>
    <row r="270" spans="1:5" x14ac:dyDescent="0.25">
      <c r="A270" s="5">
        <v>269</v>
      </c>
      <c r="B270" s="5" t="s">
        <v>330</v>
      </c>
      <c r="D270" s="1">
        <v>268</v>
      </c>
      <c r="E270" s="1" t="s">
        <v>892</v>
      </c>
    </row>
    <row r="271" spans="1:5" x14ac:dyDescent="0.25">
      <c r="A271" s="5">
        <v>270</v>
      </c>
      <c r="B271" s="5" t="s">
        <v>331</v>
      </c>
      <c r="D271" s="1">
        <v>269</v>
      </c>
      <c r="E271" s="1" t="s">
        <v>903</v>
      </c>
    </row>
    <row r="272" spans="1:5" x14ac:dyDescent="0.25">
      <c r="A272" s="5">
        <v>271</v>
      </c>
      <c r="B272" s="5" t="s">
        <v>332</v>
      </c>
      <c r="D272" s="1">
        <v>270</v>
      </c>
      <c r="E272" s="1" t="s">
        <v>5</v>
      </c>
    </row>
    <row r="273" spans="1:5" x14ac:dyDescent="0.25">
      <c r="A273" s="5">
        <v>272</v>
      </c>
      <c r="B273" s="5" t="s">
        <v>333</v>
      </c>
      <c r="D273" s="1">
        <v>271</v>
      </c>
      <c r="E273" s="1" t="s">
        <v>40</v>
      </c>
    </row>
    <row r="274" spans="1:5" x14ac:dyDescent="0.25">
      <c r="A274" s="5">
        <v>273</v>
      </c>
      <c r="B274" s="5" t="s">
        <v>334</v>
      </c>
      <c r="D274" s="1">
        <v>272</v>
      </c>
      <c r="E274" s="1" t="s">
        <v>51</v>
      </c>
    </row>
    <row r="275" spans="1:5" x14ac:dyDescent="0.25">
      <c r="A275" s="5">
        <v>274</v>
      </c>
      <c r="B275" s="5" t="s">
        <v>335</v>
      </c>
      <c r="D275" s="1">
        <v>273</v>
      </c>
      <c r="E275" s="1" t="s">
        <v>744</v>
      </c>
    </row>
    <row r="276" spans="1:5" x14ac:dyDescent="0.25">
      <c r="A276" s="5">
        <v>275</v>
      </c>
      <c r="B276" s="5" t="s">
        <v>336</v>
      </c>
      <c r="D276" s="1">
        <v>274</v>
      </c>
      <c r="E276" s="1" t="s">
        <v>660</v>
      </c>
    </row>
    <row r="277" spans="1:5" x14ac:dyDescent="0.25">
      <c r="A277" s="5">
        <v>276</v>
      </c>
      <c r="B277" s="5" t="s">
        <v>337</v>
      </c>
      <c r="D277" s="1">
        <v>275</v>
      </c>
      <c r="E277" s="1" t="s">
        <v>816</v>
      </c>
    </row>
    <row r="278" spans="1:5" x14ac:dyDescent="0.25">
      <c r="A278" s="5">
        <v>277</v>
      </c>
      <c r="B278" s="5" t="s">
        <v>338</v>
      </c>
      <c r="D278" s="1">
        <v>276</v>
      </c>
      <c r="E278" s="1" t="s">
        <v>20</v>
      </c>
    </row>
    <row r="279" spans="1:5" x14ac:dyDescent="0.25">
      <c r="A279" s="5">
        <v>278</v>
      </c>
      <c r="B279" s="5" t="s">
        <v>339</v>
      </c>
      <c r="D279" s="1">
        <v>277</v>
      </c>
      <c r="E279" s="1" t="s">
        <v>50</v>
      </c>
    </row>
    <row r="280" spans="1:5" x14ac:dyDescent="0.25">
      <c r="A280" s="5">
        <v>279</v>
      </c>
      <c r="B280" s="5" t="s">
        <v>340</v>
      </c>
      <c r="D280" s="1">
        <v>278</v>
      </c>
      <c r="E280" s="1" t="s">
        <v>695</v>
      </c>
    </row>
    <row r="281" spans="1:5" x14ac:dyDescent="0.25">
      <c r="A281" s="5">
        <v>280</v>
      </c>
      <c r="B281" s="5" t="s">
        <v>341</v>
      </c>
      <c r="D281" s="1">
        <v>279</v>
      </c>
      <c r="E281" s="1" t="s">
        <v>817</v>
      </c>
    </row>
    <row r="282" spans="1:5" x14ac:dyDescent="0.25">
      <c r="A282" s="5">
        <v>281</v>
      </c>
      <c r="B282" s="5" t="s">
        <v>342</v>
      </c>
      <c r="D282" s="1">
        <v>280</v>
      </c>
      <c r="E282" s="1" t="s">
        <v>661</v>
      </c>
    </row>
    <row r="283" spans="1:5" x14ac:dyDescent="0.25">
      <c r="A283" s="5">
        <v>282</v>
      </c>
      <c r="B283" s="5" t="s">
        <v>343</v>
      </c>
      <c r="D283" s="1">
        <v>281</v>
      </c>
      <c r="E283" s="1" t="s">
        <v>918</v>
      </c>
    </row>
    <row r="284" spans="1:5" x14ac:dyDescent="0.25">
      <c r="A284" s="5">
        <v>283</v>
      </c>
      <c r="B284" s="5" t="s">
        <v>344</v>
      </c>
      <c r="D284" s="1">
        <v>282</v>
      </c>
      <c r="E284" s="1" t="s">
        <v>42</v>
      </c>
    </row>
    <row r="285" spans="1:5" x14ac:dyDescent="0.25">
      <c r="A285" s="5">
        <v>284</v>
      </c>
      <c r="B285" s="5" t="s">
        <v>345</v>
      </c>
      <c r="D285" s="1">
        <v>283</v>
      </c>
      <c r="E285" s="1" t="s">
        <v>28</v>
      </c>
    </row>
    <row r="286" spans="1:5" x14ac:dyDescent="0.25">
      <c r="A286" s="5">
        <v>285</v>
      </c>
      <c r="B286" s="5" t="s">
        <v>346</v>
      </c>
      <c r="D286" s="1">
        <v>284</v>
      </c>
      <c r="E286" s="1" t="s">
        <v>714</v>
      </c>
    </row>
    <row r="287" spans="1:5" x14ac:dyDescent="0.25">
      <c r="A287" s="5">
        <v>286</v>
      </c>
      <c r="B287" s="5" t="s">
        <v>347</v>
      </c>
      <c r="D287" s="1">
        <v>285</v>
      </c>
      <c r="E287" s="1" t="s">
        <v>577</v>
      </c>
    </row>
    <row r="288" spans="1:5" x14ac:dyDescent="0.25">
      <c r="A288" s="5">
        <v>287</v>
      </c>
      <c r="B288" s="5" t="s">
        <v>348</v>
      </c>
      <c r="D288" s="1">
        <v>286</v>
      </c>
      <c r="E288" s="1" t="s">
        <v>795</v>
      </c>
    </row>
    <row r="289" spans="1:5" x14ac:dyDescent="0.25">
      <c r="A289" s="5">
        <v>288</v>
      </c>
      <c r="B289" s="5" t="s">
        <v>349</v>
      </c>
      <c r="D289" s="1">
        <v>287</v>
      </c>
      <c r="E289" s="1" t="s">
        <v>818</v>
      </c>
    </row>
    <row r="290" spans="1:5" x14ac:dyDescent="0.25">
      <c r="A290" s="5">
        <v>289</v>
      </c>
      <c r="B290" s="5" t="s">
        <v>350</v>
      </c>
      <c r="D290" s="1">
        <v>288</v>
      </c>
      <c r="E290" s="1" t="s">
        <v>696</v>
      </c>
    </row>
    <row r="291" spans="1:5" x14ac:dyDescent="0.25">
      <c r="A291" s="5">
        <v>290</v>
      </c>
      <c r="B291" s="5" t="s">
        <v>351</v>
      </c>
      <c r="D291" s="1">
        <v>289</v>
      </c>
      <c r="E291" s="1" t="s">
        <v>676</v>
      </c>
    </row>
    <row r="292" spans="1:5" x14ac:dyDescent="0.25">
      <c r="A292" s="5">
        <v>291</v>
      </c>
      <c r="B292" s="5" t="s">
        <v>352</v>
      </c>
      <c r="D292" s="1">
        <v>290</v>
      </c>
      <c r="E292" s="1" t="s">
        <v>578</v>
      </c>
    </row>
    <row r="293" spans="1:5" x14ac:dyDescent="0.25">
      <c r="A293" s="5">
        <v>292</v>
      </c>
      <c r="B293" s="5" t="s">
        <v>353</v>
      </c>
      <c r="D293" s="1">
        <v>291</v>
      </c>
      <c r="E293" s="1" t="s">
        <v>16</v>
      </c>
    </row>
    <row r="294" spans="1:5" x14ac:dyDescent="0.25">
      <c r="A294" s="5">
        <v>293</v>
      </c>
      <c r="B294" s="5" t="s">
        <v>354</v>
      </c>
      <c r="D294" s="1">
        <v>292</v>
      </c>
      <c r="E294" s="1" t="s">
        <v>662</v>
      </c>
    </row>
    <row r="295" spans="1:5" x14ac:dyDescent="0.25">
      <c r="A295" s="5">
        <v>294</v>
      </c>
      <c r="B295" s="5" t="s">
        <v>355</v>
      </c>
      <c r="D295" s="1">
        <v>293</v>
      </c>
      <c r="E295" s="1" t="s">
        <v>641</v>
      </c>
    </row>
    <row r="296" spans="1:5" x14ac:dyDescent="0.25">
      <c r="A296" s="5">
        <v>295</v>
      </c>
      <c r="B296" s="5" t="s">
        <v>356</v>
      </c>
      <c r="D296" s="1">
        <v>294</v>
      </c>
      <c r="E296" s="1" t="s">
        <v>642</v>
      </c>
    </row>
    <row r="297" spans="1:5" x14ac:dyDescent="0.25">
      <c r="A297" s="5">
        <v>296</v>
      </c>
      <c r="B297" s="5" t="s">
        <v>357</v>
      </c>
      <c r="D297" s="1">
        <v>295</v>
      </c>
      <c r="E297" s="1" t="s">
        <v>607</v>
      </c>
    </row>
    <row r="298" spans="1:5" x14ac:dyDescent="0.25">
      <c r="A298" s="5">
        <v>297</v>
      </c>
      <c r="B298" s="5" t="s">
        <v>358</v>
      </c>
      <c r="D298" s="1">
        <v>296</v>
      </c>
      <c r="E298" s="1" t="s">
        <v>608</v>
      </c>
    </row>
    <row r="299" spans="1:5" x14ac:dyDescent="0.25">
      <c r="A299" s="5">
        <v>298</v>
      </c>
      <c r="B299" s="5" t="s">
        <v>359</v>
      </c>
      <c r="D299" s="1">
        <v>297</v>
      </c>
      <c r="E299" s="1" t="s">
        <v>677</v>
      </c>
    </row>
    <row r="300" spans="1:5" x14ac:dyDescent="0.25">
      <c r="A300" s="5">
        <v>299</v>
      </c>
      <c r="B300" s="5" t="s">
        <v>360</v>
      </c>
      <c r="D300" s="1">
        <v>298</v>
      </c>
      <c r="E300" s="1" t="s">
        <v>609</v>
      </c>
    </row>
    <row r="301" spans="1:5" x14ac:dyDescent="0.25">
      <c r="A301" s="5">
        <v>300</v>
      </c>
      <c r="B301" s="5" t="s">
        <v>361</v>
      </c>
      <c r="D301" s="1">
        <v>299</v>
      </c>
      <c r="E301" s="1" t="s">
        <v>643</v>
      </c>
    </row>
    <row r="302" spans="1:5" x14ac:dyDescent="0.25">
      <c r="A302" s="5">
        <v>301</v>
      </c>
      <c r="B302" s="5" t="s">
        <v>362</v>
      </c>
      <c r="D302" s="1">
        <v>300</v>
      </c>
      <c r="E302" s="1" t="s">
        <v>943</v>
      </c>
    </row>
    <row r="303" spans="1:5" x14ac:dyDescent="0.25">
      <c r="A303" s="5">
        <v>302</v>
      </c>
      <c r="B303" s="5" t="s">
        <v>363</v>
      </c>
      <c r="D303" s="1">
        <v>301</v>
      </c>
      <c r="E303" s="1" t="s">
        <v>663</v>
      </c>
    </row>
    <row r="304" spans="1:5" x14ac:dyDescent="0.25">
      <c r="A304" s="5">
        <v>303</v>
      </c>
      <c r="B304" s="5" t="s">
        <v>364</v>
      </c>
      <c r="D304" s="1">
        <v>302</v>
      </c>
      <c r="E304" s="1" t="s">
        <v>644</v>
      </c>
    </row>
    <row r="305" spans="1:5" x14ac:dyDescent="0.25">
      <c r="A305" s="5">
        <v>304</v>
      </c>
      <c r="B305" s="5" t="s">
        <v>365</v>
      </c>
      <c r="D305" s="1">
        <v>303</v>
      </c>
      <c r="E305" s="1" t="s">
        <v>730</v>
      </c>
    </row>
    <row r="306" spans="1:5" x14ac:dyDescent="0.25">
      <c r="A306" s="5">
        <v>305</v>
      </c>
      <c r="B306" s="5" t="s">
        <v>366</v>
      </c>
      <c r="D306" s="1">
        <v>304</v>
      </c>
      <c r="E306" s="1" t="s">
        <v>782</v>
      </c>
    </row>
    <row r="307" spans="1:5" x14ac:dyDescent="0.25">
      <c r="A307" s="5">
        <v>306</v>
      </c>
      <c r="B307" s="5" t="s">
        <v>367</v>
      </c>
      <c r="D307" s="1">
        <v>305</v>
      </c>
      <c r="E307" s="1" t="s">
        <v>783</v>
      </c>
    </row>
    <row r="308" spans="1:5" x14ac:dyDescent="0.25">
      <c r="A308" s="5">
        <v>307</v>
      </c>
      <c r="B308" s="5" t="s">
        <v>368</v>
      </c>
      <c r="D308" s="1">
        <v>306</v>
      </c>
      <c r="E308" s="1" t="s">
        <v>678</v>
      </c>
    </row>
    <row r="309" spans="1:5" x14ac:dyDescent="0.25">
      <c r="A309" s="5">
        <v>308</v>
      </c>
      <c r="B309" s="5" t="s">
        <v>369</v>
      </c>
      <c r="D309" s="1">
        <v>307</v>
      </c>
      <c r="E309" s="1" t="s">
        <v>579</v>
      </c>
    </row>
    <row r="310" spans="1:5" x14ac:dyDescent="0.25">
      <c r="A310" s="5">
        <v>309</v>
      </c>
      <c r="B310" s="5" t="s">
        <v>370</v>
      </c>
      <c r="D310" s="1">
        <v>308</v>
      </c>
      <c r="E310" s="1" t="s">
        <v>580</v>
      </c>
    </row>
    <row r="311" spans="1:5" x14ac:dyDescent="0.25">
      <c r="A311" s="5">
        <v>310</v>
      </c>
      <c r="B311" s="5" t="s">
        <v>371</v>
      </c>
      <c r="D311" s="1">
        <v>309</v>
      </c>
      <c r="E311" s="1" t="s">
        <v>664</v>
      </c>
    </row>
    <row r="312" spans="1:5" x14ac:dyDescent="0.25">
      <c r="A312" s="5">
        <v>311</v>
      </c>
      <c r="B312" s="5" t="s">
        <v>372</v>
      </c>
      <c r="D312" s="1">
        <v>310</v>
      </c>
      <c r="E312" s="1" t="s">
        <v>968</v>
      </c>
    </row>
    <row r="313" spans="1:5" x14ac:dyDescent="0.25">
      <c r="A313" s="5">
        <v>312</v>
      </c>
      <c r="B313" s="5" t="s">
        <v>373</v>
      </c>
      <c r="D313" s="1">
        <v>311</v>
      </c>
      <c r="E313" s="1" t="s">
        <v>679</v>
      </c>
    </row>
    <row r="314" spans="1:5" x14ac:dyDescent="0.25">
      <c r="A314" s="5">
        <v>313</v>
      </c>
      <c r="B314" s="5" t="s">
        <v>374</v>
      </c>
      <c r="D314" s="1">
        <v>312</v>
      </c>
      <c r="E314" s="1" t="s">
        <v>745</v>
      </c>
    </row>
    <row r="315" spans="1:5" x14ac:dyDescent="0.25">
      <c r="A315" s="5">
        <v>314</v>
      </c>
      <c r="B315" s="5" t="s">
        <v>375</v>
      </c>
      <c r="D315" s="1">
        <v>313</v>
      </c>
      <c r="E315" s="1" t="s">
        <v>758</v>
      </c>
    </row>
    <row r="316" spans="1:5" x14ac:dyDescent="0.25">
      <c r="A316" s="5">
        <v>315</v>
      </c>
      <c r="B316" s="5" t="s">
        <v>376</v>
      </c>
      <c r="D316" s="1">
        <v>314</v>
      </c>
      <c r="E316" s="1" t="s">
        <v>27</v>
      </c>
    </row>
    <row r="317" spans="1:5" x14ac:dyDescent="0.25">
      <c r="A317" s="5">
        <v>316</v>
      </c>
      <c r="B317" s="5" t="s">
        <v>377</v>
      </c>
      <c r="D317" s="1">
        <v>315</v>
      </c>
      <c r="E317" s="1" t="s">
        <v>581</v>
      </c>
    </row>
    <row r="318" spans="1:5" x14ac:dyDescent="0.25">
      <c r="A318" s="5">
        <v>317</v>
      </c>
      <c r="B318" s="5" t="s">
        <v>378</v>
      </c>
      <c r="D318" s="1">
        <v>316</v>
      </c>
      <c r="E318" s="1" t="s">
        <v>879</v>
      </c>
    </row>
    <row r="319" spans="1:5" x14ac:dyDescent="0.25">
      <c r="A319" s="5">
        <v>318</v>
      </c>
      <c r="B319" s="5" t="s">
        <v>379</v>
      </c>
      <c r="D319" s="1">
        <v>317</v>
      </c>
      <c r="E319" s="1" t="s">
        <v>731</v>
      </c>
    </row>
    <row r="320" spans="1:5" x14ac:dyDescent="0.25">
      <c r="A320" s="5">
        <v>319</v>
      </c>
      <c r="B320" s="5" t="s">
        <v>380</v>
      </c>
      <c r="D320" s="1">
        <v>318</v>
      </c>
      <c r="E320" s="1" t="s">
        <v>784</v>
      </c>
    </row>
    <row r="321" spans="1:5" x14ac:dyDescent="0.25">
      <c r="A321" s="5">
        <v>320</v>
      </c>
      <c r="B321" s="5" t="s">
        <v>381</v>
      </c>
      <c r="D321" s="1">
        <v>319</v>
      </c>
      <c r="E321" s="1" t="s">
        <v>852</v>
      </c>
    </row>
    <row r="322" spans="1:5" x14ac:dyDescent="0.25">
      <c r="A322" s="5">
        <v>321</v>
      </c>
      <c r="B322" s="5" t="s">
        <v>382</v>
      </c>
      <c r="D322" s="1">
        <v>320</v>
      </c>
      <c r="E322" s="1" t="s">
        <v>715</v>
      </c>
    </row>
    <row r="323" spans="1:5" x14ac:dyDescent="0.25">
      <c r="A323" s="5">
        <v>322</v>
      </c>
      <c r="B323" s="5" t="s">
        <v>383</v>
      </c>
      <c r="D323" s="1">
        <v>321</v>
      </c>
      <c r="E323" s="1" t="s">
        <v>746</v>
      </c>
    </row>
    <row r="324" spans="1:5" x14ac:dyDescent="0.25">
      <c r="A324" s="5">
        <v>323</v>
      </c>
      <c r="B324" s="5" t="s">
        <v>384</v>
      </c>
      <c r="D324" s="1">
        <v>322</v>
      </c>
      <c r="E324" s="1" t="s">
        <v>785</v>
      </c>
    </row>
    <row r="325" spans="1:5" x14ac:dyDescent="0.25">
      <c r="A325" s="5">
        <v>324</v>
      </c>
      <c r="B325" s="5" t="s">
        <v>385</v>
      </c>
      <c r="D325" s="1">
        <v>323</v>
      </c>
      <c r="E325" s="1" t="s">
        <v>665</v>
      </c>
    </row>
    <row r="326" spans="1:5" x14ac:dyDescent="0.25">
      <c r="A326" s="5">
        <v>325</v>
      </c>
      <c r="B326" s="5" t="s">
        <v>386</v>
      </c>
      <c r="D326" s="1">
        <v>324</v>
      </c>
      <c r="E326" s="1" t="s">
        <v>9</v>
      </c>
    </row>
    <row r="327" spans="1:5" x14ac:dyDescent="0.25">
      <c r="A327" s="5">
        <v>326</v>
      </c>
      <c r="B327" s="5" t="s">
        <v>387</v>
      </c>
      <c r="D327" s="1">
        <v>325</v>
      </c>
      <c r="E327" s="1" t="s">
        <v>680</v>
      </c>
    </row>
    <row r="328" spans="1:5" x14ac:dyDescent="0.25">
      <c r="A328" s="5">
        <v>327</v>
      </c>
      <c r="B328" s="5" t="s">
        <v>388</v>
      </c>
      <c r="D328" s="1">
        <v>326</v>
      </c>
      <c r="E328" s="1" t="s">
        <v>853</v>
      </c>
    </row>
    <row r="329" spans="1:5" x14ac:dyDescent="0.25">
      <c r="A329" s="5">
        <v>328</v>
      </c>
      <c r="B329" s="5" t="s">
        <v>389</v>
      </c>
      <c r="D329" s="1">
        <v>327</v>
      </c>
      <c r="E329" s="1" t="s">
        <v>681</v>
      </c>
    </row>
    <row r="330" spans="1:5" x14ac:dyDescent="0.25">
      <c r="A330" s="5">
        <v>329</v>
      </c>
      <c r="B330" s="5" t="s">
        <v>390</v>
      </c>
      <c r="D330" s="1">
        <v>328</v>
      </c>
      <c r="E330" s="1" t="s">
        <v>836</v>
      </c>
    </row>
    <row r="331" spans="1:5" x14ac:dyDescent="0.25">
      <c r="A331" s="5">
        <v>330</v>
      </c>
      <c r="B331" s="5" t="s">
        <v>391</v>
      </c>
      <c r="D331" s="1">
        <v>329</v>
      </c>
      <c r="E331" s="1" t="s">
        <v>786</v>
      </c>
    </row>
    <row r="332" spans="1:5" x14ac:dyDescent="0.25">
      <c r="A332" s="5">
        <v>331</v>
      </c>
      <c r="B332" s="5" t="s">
        <v>392</v>
      </c>
      <c r="D332" s="1">
        <v>330</v>
      </c>
      <c r="E332" s="1" t="s">
        <v>747</v>
      </c>
    </row>
    <row r="333" spans="1:5" x14ac:dyDescent="0.25">
      <c r="A333" s="5">
        <v>332</v>
      </c>
      <c r="B333" s="5" t="s">
        <v>393</v>
      </c>
      <c r="D333" s="1">
        <v>331</v>
      </c>
      <c r="E333" s="1" t="s">
        <v>748</v>
      </c>
    </row>
    <row r="334" spans="1:5" x14ac:dyDescent="0.25">
      <c r="A334" s="5">
        <v>333</v>
      </c>
      <c r="B334" s="5" t="s">
        <v>394</v>
      </c>
      <c r="D334" s="1">
        <v>332</v>
      </c>
      <c r="E334" s="1" t="s">
        <v>787</v>
      </c>
    </row>
    <row r="335" spans="1:5" x14ac:dyDescent="0.25">
      <c r="A335" s="5">
        <v>334</v>
      </c>
      <c r="B335" s="5" t="s">
        <v>395</v>
      </c>
      <c r="D335" s="1">
        <v>333</v>
      </c>
      <c r="E335" s="1" t="s">
        <v>610</v>
      </c>
    </row>
    <row r="336" spans="1:5" x14ac:dyDescent="0.25">
      <c r="A336" s="5">
        <v>335</v>
      </c>
      <c r="B336" s="5" t="s">
        <v>396</v>
      </c>
      <c r="D336" s="1">
        <v>334</v>
      </c>
      <c r="E336" s="1" t="s">
        <v>37</v>
      </c>
    </row>
    <row r="337" spans="1:5" x14ac:dyDescent="0.25">
      <c r="A337" s="5">
        <v>336</v>
      </c>
      <c r="B337" s="5" t="s">
        <v>397</v>
      </c>
      <c r="D337" s="1">
        <v>335</v>
      </c>
      <c r="E337" s="1" t="s">
        <v>55</v>
      </c>
    </row>
    <row r="338" spans="1:5" x14ac:dyDescent="0.25">
      <c r="A338" s="5">
        <v>337</v>
      </c>
      <c r="B338" s="5" t="s">
        <v>398</v>
      </c>
      <c r="D338" s="1">
        <v>336</v>
      </c>
      <c r="E338" s="1" t="s">
        <v>837</v>
      </c>
    </row>
    <row r="339" spans="1:5" x14ac:dyDescent="0.25">
      <c r="A339" s="5">
        <v>338</v>
      </c>
      <c r="B339" s="5" t="s">
        <v>399</v>
      </c>
      <c r="D339" s="1">
        <v>337</v>
      </c>
      <c r="E339" s="1" t="s">
        <v>810</v>
      </c>
    </row>
    <row r="340" spans="1:5" x14ac:dyDescent="0.25">
      <c r="A340" s="5">
        <v>339</v>
      </c>
      <c r="B340" s="5" t="s">
        <v>400</v>
      </c>
      <c r="D340" s="1">
        <v>338</v>
      </c>
      <c r="E340" s="1" t="s">
        <v>582</v>
      </c>
    </row>
    <row r="341" spans="1:5" x14ac:dyDescent="0.25">
      <c r="A341" s="5">
        <v>340</v>
      </c>
      <c r="B341" s="5" t="s">
        <v>401</v>
      </c>
      <c r="D341" s="1">
        <v>339</v>
      </c>
      <c r="E341" s="1" t="s">
        <v>666</v>
      </c>
    </row>
    <row r="342" spans="1:5" x14ac:dyDescent="0.25">
      <c r="A342" s="5">
        <v>341</v>
      </c>
      <c r="B342" s="5" t="s">
        <v>402</v>
      </c>
      <c r="D342" s="1">
        <v>340</v>
      </c>
      <c r="E342" s="1" t="s">
        <v>39</v>
      </c>
    </row>
    <row r="343" spans="1:5" x14ac:dyDescent="0.25">
      <c r="A343" s="5">
        <v>342</v>
      </c>
      <c r="B343" s="5" t="s">
        <v>403</v>
      </c>
      <c r="D343" s="1">
        <v>341</v>
      </c>
      <c r="E343" s="1" t="s">
        <v>819</v>
      </c>
    </row>
    <row r="344" spans="1:5" x14ac:dyDescent="0.25">
      <c r="A344" s="5">
        <v>343</v>
      </c>
      <c r="B344" s="5" t="s">
        <v>404</v>
      </c>
      <c r="D344" s="1">
        <v>342</v>
      </c>
      <c r="E344" s="1" t="s">
        <v>611</v>
      </c>
    </row>
    <row r="345" spans="1:5" x14ac:dyDescent="0.25">
      <c r="A345" s="5">
        <v>344</v>
      </c>
      <c r="B345" s="5" t="s">
        <v>405</v>
      </c>
      <c r="D345" s="1">
        <v>343</v>
      </c>
      <c r="E345" s="1" t="s">
        <v>759</v>
      </c>
    </row>
    <row r="346" spans="1:5" x14ac:dyDescent="0.25">
      <c r="A346" s="5">
        <v>345</v>
      </c>
      <c r="B346" s="5" t="s">
        <v>406</v>
      </c>
      <c r="D346" s="1">
        <v>344</v>
      </c>
      <c r="E346" s="1" t="s">
        <v>583</v>
      </c>
    </row>
    <row r="347" spans="1:5" x14ac:dyDescent="0.25">
      <c r="A347" s="5">
        <v>346</v>
      </c>
      <c r="B347" s="5" t="s">
        <v>407</v>
      </c>
      <c r="D347" s="1">
        <v>345</v>
      </c>
      <c r="E347" s="1" t="s">
        <v>883</v>
      </c>
    </row>
    <row r="348" spans="1:5" x14ac:dyDescent="0.25">
      <c r="A348" s="5">
        <v>347</v>
      </c>
      <c r="B348" s="5" t="s">
        <v>408</v>
      </c>
      <c r="D348" s="1">
        <v>346</v>
      </c>
      <c r="E348" s="1" t="s">
        <v>904</v>
      </c>
    </row>
    <row r="349" spans="1:5" x14ac:dyDescent="0.25">
      <c r="A349" s="5">
        <v>348</v>
      </c>
      <c r="B349" s="5" t="s">
        <v>409</v>
      </c>
      <c r="D349" s="1">
        <v>347</v>
      </c>
      <c r="E349" s="1" t="s">
        <v>838</v>
      </c>
    </row>
    <row r="350" spans="1:5" x14ac:dyDescent="0.25">
      <c r="A350" s="5">
        <v>349</v>
      </c>
      <c r="B350" s="5" t="s">
        <v>410</v>
      </c>
      <c r="D350" s="1">
        <v>348</v>
      </c>
      <c r="E350" s="1" t="s">
        <v>716</v>
      </c>
    </row>
    <row r="351" spans="1:5" x14ac:dyDescent="0.25">
      <c r="A351" s="5">
        <v>350</v>
      </c>
      <c r="B351" s="5" t="s">
        <v>411</v>
      </c>
      <c r="D351" s="1">
        <v>349</v>
      </c>
      <c r="E351" s="1" t="s">
        <v>788</v>
      </c>
    </row>
    <row r="352" spans="1:5" x14ac:dyDescent="0.25">
      <c r="A352" s="5">
        <v>351</v>
      </c>
      <c r="B352" s="5" t="s">
        <v>412</v>
      </c>
      <c r="D352" s="1">
        <v>350</v>
      </c>
      <c r="E352" s="1" t="s">
        <v>820</v>
      </c>
    </row>
    <row r="353" spans="1:5" x14ac:dyDescent="0.25">
      <c r="A353" s="5">
        <v>352</v>
      </c>
      <c r="B353" s="5" t="s">
        <v>413</v>
      </c>
      <c r="D353" s="1">
        <v>351</v>
      </c>
      <c r="E353" s="1" t="s">
        <v>760</v>
      </c>
    </row>
    <row r="354" spans="1:5" x14ac:dyDescent="0.25">
      <c r="A354" s="5">
        <v>353</v>
      </c>
      <c r="B354" s="5" t="s">
        <v>414</v>
      </c>
      <c r="D354" s="1">
        <v>352</v>
      </c>
      <c r="E354" s="1" t="s">
        <v>951</v>
      </c>
    </row>
    <row r="355" spans="1:5" x14ac:dyDescent="0.25">
      <c r="A355" s="5">
        <v>354</v>
      </c>
      <c r="B355" s="5" t="s">
        <v>415</v>
      </c>
      <c r="D355" s="1">
        <v>353</v>
      </c>
      <c r="E355" s="1" t="s">
        <v>612</v>
      </c>
    </row>
    <row r="356" spans="1:5" x14ac:dyDescent="0.25">
      <c r="A356" s="5">
        <v>355</v>
      </c>
      <c r="B356" s="5" t="s">
        <v>416</v>
      </c>
      <c r="D356" s="1">
        <v>354</v>
      </c>
      <c r="E356" s="1" t="s">
        <v>682</v>
      </c>
    </row>
    <row r="357" spans="1:5" x14ac:dyDescent="0.25">
      <c r="A357" s="5">
        <v>356</v>
      </c>
      <c r="B357" s="5" t="s">
        <v>417</v>
      </c>
      <c r="D357" s="1">
        <v>355</v>
      </c>
      <c r="E357" s="1" t="s">
        <v>854</v>
      </c>
    </row>
    <row r="358" spans="1:5" x14ac:dyDescent="0.25">
      <c r="A358" s="5">
        <v>357</v>
      </c>
      <c r="B358" s="5" t="s">
        <v>418</v>
      </c>
      <c r="D358" s="1">
        <v>356</v>
      </c>
      <c r="E358" s="1" t="s">
        <v>48</v>
      </c>
    </row>
    <row r="359" spans="1:5" x14ac:dyDescent="0.25">
      <c r="A359" s="5">
        <v>358</v>
      </c>
      <c r="B359" s="5" t="s">
        <v>419</v>
      </c>
      <c r="D359" s="1">
        <v>357</v>
      </c>
      <c r="E359" s="1" t="s">
        <v>697</v>
      </c>
    </row>
    <row r="360" spans="1:5" x14ac:dyDescent="0.25">
      <c r="A360" s="5">
        <v>359</v>
      </c>
      <c r="B360" s="5" t="s">
        <v>420</v>
      </c>
      <c r="D360" s="1">
        <v>358</v>
      </c>
      <c r="E360" s="1" t="s">
        <v>821</v>
      </c>
    </row>
    <row r="361" spans="1:5" x14ac:dyDescent="0.25">
      <c r="A361" s="5">
        <v>360</v>
      </c>
      <c r="B361" s="5" t="s">
        <v>421</v>
      </c>
      <c r="D361" s="1">
        <v>359</v>
      </c>
      <c r="E361" s="1" t="s">
        <v>796</v>
      </c>
    </row>
    <row r="362" spans="1:5" x14ac:dyDescent="0.25">
      <c r="A362" s="5">
        <v>361</v>
      </c>
      <c r="B362" s="5" t="s">
        <v>422</v>
      </c>
      <c r="D362" s="1">
        <v>360</v>
      </c>
      <c r="E362" s="1" t="s">
        <v>875</v>
      </c>
    </row>
    <row r="363" spans="1:5" x14ac:dyDescent="0.25">
      <c r="A363" s="5">
        <v>362</v>
      </c>
      <c r="B363" s="5" t="s">
        <v>423</v>
      </c>
      <c r="D363" s="1">
        <v>361</v>
      </c>
      <c r="E363" s="1" t="s">
        <v>811</v>
      </c>
    </row>
    <row r="364" spans="1:5" x14ac:dyDescent="0.25">
      <c r="A364" s="5">
        <v>363</v>
      </c>
      <c r="B364" s="5" t="s">
        <v>424</v>
      </c>
      <c r="D364" s="1">
        <v>362</v>
      </c>
      <c r="E364" s="1" t="s">
        <v>880</v>
      </c>
    </row>
    <row r="365" spans="1:5" x14ac:dyDescent="0.25">
      <c r="A365" s="5">
        <v>364</v>
      </c>
      <c r="B365" s="5" t="s">
        <v>425</v>
      </c>
      <c r="D365" s="1">
        <v>363</v>
      </c>
      <c r="E365" s="1" t="s">
        <v>919</v>
      </c>
    </row>
    <row r="366" spans="1:5" x14ac:dyDescent="0.25">
      <c r="A366" s="5">
        <v>365</v>
      </c>
      <c r="B366" s="5" t="s">
        <v>426</v>
      </c>
      <c r="D366" s="1">
        <v>364</v>
      </c>
      <c r="E366" s="1" t="s">
        <v>924</v>
      </c>
    </row>
    <row r="367" spans="1:5" x14ac:dyDescent="0.25">
      <c r="A367" s="5">
        <v>366</v>
      </c>
      <c r="B367" s="5" t="s">
        <v>427</v>
      </c>
      <c r="D367" s="1">
        <v>365</v>
      </c>
      <c r="E367" s="1" t="s">
        <v>698</v>
      </c>
    </row>
    <row r="368" spans="1:5" x14ac:dyDescent="0.25">
      <c r="A368" s="5">
        <v>367</v>
      </c>
      <c r="B368" s="5" t="s">
        <v>428</v>
      </c>
      <c r="D368" s="1">
        <v>366</v>
      </c>
      <c r="E368" s="1" t="s">
        <v>47</v>
      </c>
    </row>
    <row r="369" spans="1:5" x14ac:dyDescent="0.25">
      <c r="A369" s="5">
        <v>368</v>
      </c>
      <c r="B369" s="5" t="s">
        <v>429</v>
      </c>
      <c r="D369" s="1">
        <v>367</v>
      </c>
      <c r="E369" s="1" t="s">
        <v>683</v>
      </c>
    </row>
    <row r="370" spans="1:5" x14ac:dyDescent="0.25">
      <c r="A370" s="5">
        <v>369</v>
      </c>
      <c r="B370" s="5" t="s">
        <v>430</v>
      </c>
      <c r="D370" s="1">
        <v>368</v>
      </c>
      <c r="E370" s="1" t="s">
        <v>717</v>
      </c>
    </row>
    <row r="371" spans="1:5" x14ac:dyDescent="0.25">
      <c r="A371" s="5">
        <v>370</v>
      </c>
      <c r="B371" s="5" t="s">
        <v>431</v>
      </c>
      <c r="D371" s="1">
        <v>369</v>
      </c>
      <c r="E371" s="1" t="s">
        <v>761</v>
      </c>
    </row>
    <row r="372" spans="1:5" x14ac:dyDescent="0.25">
      <c r="A372" s="5">
        <v>371</v>
      </c>
      <c r="B372" s="5" t="s">
        <v>432</v>
      </c>
      <c r="D372" s="1">
        <v>370</v>
      </c>
      <c r="E372" s="1" t="s">
        <v>839</v>
      </c>
    </row>
    <row r="373" spans="1:5" x14ac:dyDescent="0.25">
      <c r="A373" s="5">
        <v>372</v>
      </c>
      <c r="B373" s="5" t="s">
        <v>433</v>
      </c>
      <c r="D373" s="1">
        <v>371</v>
      </c>
      <c r="E373" s="1" t="s">
        <v>920</v>
      </c>
    </row>
    <row r="374" spans="1:5" x14ac:dyDescent="0.25">
      <c r="A374" s="5">
        <v>373</v>
      </c>
      <c r="B374" s="5" t="s">
        <v>434</v>
      </c>
      <c r="D374" s="1">
        <v>372</v>
      </c>
      <c r="E374" s="1" t="s">
        <v>893</v>
      </c>
    </row>
    <row r="375" spans="1:5" x14ac:dyDescent="0.25">
      <c r="A375" s="5">
        <v>374</v>
      </c>
      <c r="B375" s="5" t="s">
        <v>435</v>
      </c>
      <c r="D375" s="1">
        <v>373</v>
      </c>
      <c r="E375" s="1" t="s">
        <v>797</v>
      </c>
    </row>
    <row r="376" spans="1:5" x14ac:dyDescent="0.25">
      <c r="A376" s="5">
        <v>375</v>
      </c>
      <c r="B376" s="5" t="s">
        <v>436</v>
      </c>
      <c r="D376" s="1">
        <v>374</v>
      </c>
      <c r="E376" s="1" t="s">
        <v>866</v>
      </c>
    </row>
    <row r="377" spans="1:5" x14ac:dyDescent="0.25">
      <c r="A377" s="5">
        <v>376</v>
      </c>
      <c r="B377" s="5" t="s">
        <v>437</v>
      </c>
      <c r="D377" s="1">
        <v>375</v>
      </c>
      <c r="E377" s="1" t="s">
        <v>798</v>
      </c>
    </row>
    <row r="378" spans="1:5" x14ac:dyDescent="0.25">
      <c r="A378" s="5">
        <v>377</v>
      </c>
      <c r="B378" s="5" t="s">
        <v>438</v>
      </c>
      <c r="D378" s="1">
        <v>376</v>
      </c>
      <c r="E378" s="1" t="s">
        <v>667</v>
      </c>
    </row>
    <row r="379" spans="1:5" x14ac:dyDescent="0.25">
      <c r="A379" s="5">
        <v>378</v>
      </c>
      <c r="B379" s="5" t="s">
        <v>439</v>
      </c>
      <c r="D379" s="1">
        <v>377</v>
      </c>
      <c r="E379" s="1" t="s">
        <v>762</v>
      </c>
    </row>
    <row r="380" spans="1:5" x14ac:dyDescent="0.25">
      <c r="A380" s="5">
        <v>379</v>
      </c>
      <c r="B380" s="5" t="s">
        <v>440</v>
      </c>
      <c r="D380" s="1">
        <v>378</v>
      </c>
      <c r="E380" s="1" t="s">
        <v>876</v>
      </c>
    </row>
    <row r="381" spans="1:5" x14ac:dyDescent="0.25">
      <c r="A381" s="5">
        <v>380</v>
      </c>
      <c r="B381" s="5" t="s">
        <v>441</v>
      </c>
      <c r="D381" s="1">
        <v>379</v>
      </c>
      <c r="E381" s="1" t="s">
        <v>699</v>
      </c>
    </row>
    <row r="382" spans="1:5" x14ac:dyDescent="0.25">
      <c r="A382" s="5">
        <v>381</v>
      </c>
      <c r="B382" s="5" t="s">
        <v>442</v>
      </c>
      <c r="D382" s="1">
        <v>380</v>
      </c>
      <c r="E382" s="1" t="s">
        <v>25</v>
      </c>
    </row>
    <row r="383" spans="1:5" x14ac:dyDescent="0.25">
      <c r="A383" s="5">
        <v>382</v>
      </c>
      <c r="B383" s="5" t="s">
        <v>443</v>
      </c>
      <c r="D383" s="1">
        <v>381</v>
      </c>
      <c r="E383" s="1" t="s">
        <v>840</v>
      </c>
    </row>
    <row r="384" spans="1:5" x14ac:dyDescent="0.25">
      <c r="A384" s="5">
        <v>383</v>
      </c>
      <c r="B384" s="5" t="s">
        <v>444</v>
      </c>
      <c r="D384" s="1">
        <v>382</v>
      </c>
      <c r="E384" s="1" t="s">
        <v>799</v>
      </c>
    </row>
    <row r="385" spans="1:5" x14ac:dyDescent="0.25">
      <c r="A385" s="5">
        <v>384</v>
      </c>
      <c r="B385" s="5" t="s">
        <v>445</v>
      </c>
      <c r="D385" s="1">
        <v>383</v>
      </c>
      <c r="E385" s="1" t="s">
        <v>841</v>
      </c>
    </row>
    <row r="386" spans="1:5" x14ac:dyDescent="0.25">
      <c r="A386" s="5">
        <v>385</v>
      </c>
      <c r="B386" s="5" t="s">
        <v>446</v>
      </c>
      <c r="D386" s="1">
        <v>384</v>
      </c>
      <c r="E386" s="1" t="s">
        <v>718</v>
      </c>
    </row>
    <row r="387" spans="1:5" x14ac:dyDescent="0.25">
      <c r="A387" s="5">
        <v>386</v>
      </c>
      <c r="B387" s="5" t="s">
        <v>15</v>
      </c>
      <c r="D387" s="1">
        <v>385</v>
      </c>
      <c r="E387" s="1" t="s">
        <v>719</v>
      </c>
    </row>
    <row r="388" spans="1:5" x14ac:dyDescent="0.25">
      <c r="A388" s="5">
        <v>387</v>
      </c>
      <c r="B388" s="5" t="s">
        <v>447</v>
      </c>
      <c r="D388" s="1">
        <v>386</v>
      </c>
      <c r="E388" s="1" t="s">
        <v>749</v>
      </c>
    </row>
    <row r="389" spans="1:5" x14ac:dyDescent="0.25">
      <c r="A389" s="5">
        <v>388</v>
      </c>
      <c r="B389" s="5" t="s">
        <v>448</v>
      </c>
      <c r="D389" s="1">
        <v>387</v>
      </c>
      <c r="E389" s="1" t="s">
        <v>38</v>
      </c>
    </row>
    <row r="390" spans="1:5" x14ac:dyDescent="0.25">
      <c r="A390" s="5">
        <v>389</v>
      </c>
      <c r="B390" s="5" t="s">
        <v>449</v>
      </c>
      <c r="D390" s="1">
        <v>388</v>
      </c>
      <c r="E390" s="1" t="s">
        <v>49</v>
      </c>
    </row>
    <row r="391" spans="1:5" x14ac:dyDescent="0.25">
      <c r="A391" s="5">
        <v>390</v>
      </c>
      <c r="B391" s="5" t="s">
        <v>450</v>
      </c>
      <c r="D391" s="1">
        <v>389</v>
      </c>
      <c r="E391" s="1" t="s">
        <v>43</v>
      </c>
    </row>
    <row r="392" spans="1:5" x14ac:dyDescent="0.25">
      <c r="A392" s="5">
        <v>391</v>
      </c>
      <c r="B392" s="5" t="s">
        <v>451</v>
      </c>
      <c r="D392" s="1">
        <v>390</v>
      </c>
      <c r="E392" s="1" t="s">
        <v>822</v>
      </c>
    </row>
    <row r="393" spans="1:5" x14ac:dyDescent="0.25">
      <c r="A393" s="5">
        <v>392</v>
      </c>
      <c r="B393" s="5" t="s">
        <v>452</v>
      </c>
      <c r="D393" s="1">
        <v>391</v>
      </c>
      <c r="E393" s="1" t="s">
        <v>613</v>
      </c>
    </row>
    <row r="394" spans="1:5" x14ac:dyDescent="0.25">
      <c r="A394" s="5">
        <v>393</v>
      </c>
      <c r="B394" s="5" t="s">
        <v>453</v>
      </c>
      <c r="D394" s="1">
        <v>392</v>
      </c>
      <c r="E394" s="1" t="s">
        <v>884</v>
      </c>
    </row>
    <row r="395" spans="1:5" x14ac:dyDescent="0.25">
      <c r="A395" s="5">
        <v>394</v>
      </c>
      <c r="B395" s="5" t="s">
        <v>454</v>
      </c>
      <c r="D395" s="1">
        <v>393</v>
      </c>
      <c r="E395" s="1" t="s">
        <v>6</v>
      </c>
    </row>
    <row r="396" spans="1:5" x14ac:dyDescent="0.25">
      <c r="A396" s="5">
        <v>395</v>
      </c>
      <c r="B396" s="5" t="s">
        <v>455</v>
      </c>
      <c r="D396" s="1">
        <v>394</v>
      </c>
      <c r="E396" s="1" t="s">
        <v>750</v>
      </c>
    </row>
    <row r="397" spans="1:5" x14ac:dyDescent="0.25">
      <c r="A397" s="5">
        <v>396</v>
      </c>
      <c r="B397" s="5" t="s">
        <v>456</v>
      </c>
      <c r="D397" s="1">
        <v>395</v>
      </c>
      <c r="E397" s="1" t="s">
        <v>732</v>
      </c>
    </row>
    <row r="398" spans="1:5" x14ac:dyDescent="0.25">
      <c r="A398" s="5">
        <v>397</v>
      </c>
      <c r="B398" s="5" t="s">
        <v>457</v>
      </c>
      <c r="D398" s="1">
        <v>396</v>
      </c>
      <c r="E398" s="1" t="s">
        <v>751</v>
      </c>
    </row>
    <row r="399" spans="1:5" x14ac:dyDescent="0.25">
      <c r="A399" s="5">
        <v>398</v>
      </c>
      <c r="B399" s="5" t="s">
        <v>458</v>
      </c>
      <c r="D399" s="1">
        <v>397</v>
      </c>
      <c r="E399" s="1" t="s">
        <v>763</v>
      </c>
    </row>
    <row r="400" spans="1:5" x14ac:dyDescent="0.25">
      <c r="A400" s="5">
        <v>399</v>
      </c>
      <c r="B400" s="5" t="s">
        <v>459</v>
      </c>
      <c r="D400" s="1">
        <v>398</v>
      </c>
      <c r="E400" s="1" t="s">
        <v>867</v>
      </c>
    </row>
    <row r="401" spans="1:5" x14ac:dyDescent="0.25">
      <c r="A401" s="5">
        <v>400</v>
      </c>
      <c r="B401" s="5" t="s">
        <v>460</v>
      </c>
      <c r="D401" s="1">
        <v>399</v>
      </c>
      <c r="E401" s="1" t="s">
        <v>800</v>
      </c>
    </row>
    <row r="402" spans="1:5" x14ac:dyDescent="0.25">
      <c r="A402" s="5">
        <v>401</v>
      </c>
      <c r="B402" s="5" t="s">
        <v>461</v>
      </c>
      <c r="D402" s="1">
        <v>400</v>
      </c>
      <c r="E402" s="1" t="s">
        <v>897</v>
      </c>
    </row>
    <row r="403" spans="1:5" x14ac:dyDescent="0.25">
      <c r="A403" s="5">
        <v>402</v>
      </c>
      <c r="B403" s="5" t="s">
        <v>462</v>
      </c>
      <c r="D403" s="1">
        <v>401</v>
      </c>
      <c r="E403" s="1" t="s">
        <v>23</v>
      </c>
    </row>
    <row r="404" spans="1:5" x14ac:dyDescent="0.25">
      <c r="A404" s="5">
        <v>403</v>
      </c>
      <c r="B404" s="5" t="s">
        <v>463</v>
      </c>
      <c r="D404" s="1">
        <v>402</v>
      </c>
      <c r="E404" s="1" t="s">
        <v>36</v>
      </c>
    </row>
    <row r="405" spans="1:5" x14ac:dyDescent="0.25">
      <c r="A405" s="5">
        <v>404</v>
      </c>
      <c r="B405" s="5" t="s">
        <v>464</v>
      </c>
      <c r="D405" s="1">
        <v>403</v>
      </c>
      <c r="E405" s="1" t="s">
        <v>905</v>
      </c>
    </row>
    <row r="406" spans="1:5" x14ac:dyDescent="0.25">
      <c r="A406" s="5">
        <v>405</v>
      </c>
      <c r="B406" s="5" t="s">
        <v>465</v>
      </c>
      <c r="D406" s="1">
        <v>404</v>
      </c>
      <c r="E406" s="1" t="s">
        <v>823</v>
      </c>
    </row>
    <row r="407" spans="1:5" x14ac:dyDescent="0.25">
      <c r="A407" s="5">
        <v>406</v>
      </c>
      <c r="B407" s="5" t="s">
        <v>466</v>
      </c>
      <c r="D407" s="1">
        <v>405</v>
      </c>
      <c r="E407" s="1" t="s">
        <v>824</v>
      </c>
    </row>
    <row r="408" spans="1:5" x14ac:dyDescent="0.25">
      <c r="A408" s="5">
        <v>407</v>
      </c>
      <c r="B408" s="5" t="s">
        <v>467</v>
      </c>
      <c r="D408" s="1">
        <v>406</v>
      </c>
      <c r="E408" s="1" t="s">
        <v>764</v>
      </c>
    </row>
    <row r="409" spans="1:5" x14ac:dyDescent="0.25">
      <c r="A409" s="5">
        <v>408</v>
      </c>
      <c r="B409" s="5" t="s">
        <v>468</v>
      </c>
      <c r="D409" s="1">
        <v>407</v>
      </c>
      <c r="E409" s="1" t="s">
        <v>733</v>
      </c>
    </row>
    <row r="410" spans="1:5" x14ac:dyDescent="0.25">
      <c r="A410" s="5">
        <v>409</v>
      </c>
      <c r="B410" s="5" t="s">
        <v>469</v>
      </c>
      <c r="D410" s="1">
        <v>408</v>
      </c>
      <c r="E410" s="1" t="s">
        <v>868</v>
      </c>
    </row>
    <row r="411" spans="1:5" x14ac:dyDescent="0.25">
      <c r="A411" s="5">
        <v>410</v>
      </c>
      <c r="B411" s="5" t="s">
        <v>470</v>
      </c>
      <c r="D411" s="1">
        <v>409</v>
      </c>
      <c r="E411" s="1" t="s">
        <v>584</v>
      </c>
    </row>
    <row r="412" spans="1:5" x14ac:dyDescent="0.25">
      <c r="A412" s="5">
        <v>411</v>
      </c>
      <c r="B412" s="5" t="s">
        <v>471</v>
      </c>
      <c r="D412" s="1">
        <v>410</v>
      </c>
      <c r="E412" s="1" t="s">
        <v>32</v>
      </c>
    </row>
    <row r="413" spans="1:5" x14ac:dyDescent="0.25">
      <c r="A413" s="5">
        <v>412</v>
      </c>
      <c r="B413" s="5" t="s">
        <v>472</v>
      </c>
      <c r="D413" s="1">
        <v>411</v>
      </c>
      <c r="E413" s="1" t="s">
        <v>585</v>
      </c>
    </row>
    <row r="414" spans="1:5" x14ac:dyDescent="0.25">
      <c r="A414" s="5">
        <v>413</v>
      </c>
      <c r="B414" s="5" t="s">
        <v>473</v>
      </c>
      <c r="D414" s="1">
        <v>412</v>
      </c>
      <c r="E414" s="1" t="s">
        <v>720</v>
      </c>
    </row>
    <row r="415" spans="1:5" x14ac:dyDescent="0.25">
      <c r="A415" s="5">
        <v>414</v>
      </c>
      <c r="B415" s="5" t="s">
        <v>474</v>
      </c>
      <c r="D415" s="1">
        <v>413</v>
      </c>
      <c r="E415" s="1" t="s">
        <v>700</v>
      </c>
    </row>
    <row r="416" spans="1:5" x14ac:dyDescent="0.25">
      <c r="A416" s="5">
        <v>415</v>
      </c>
      <c r="B416" s="5" t="s">
        <v>475</v>
      </c>
      <c r="D416" s="1">
        <v>414</v>
      </c>
      <c r="E416" s="1" t="s">
        <v>33</v>
      </c>
    </row>
    <row r="417" spans="1:5" x14ac:dyDescent="0.25">
      <c r="A417" s="5">
        <v>416</v>
      </c>
      <c r="B417" s="5" t="s">
        <v>476</v>
      </c>
      <c r="D417" s="1">
        <v>415</v>
      </c>
      <c r="E417" s="1" t="s">
        <v>668</v>
      </c>
    </row>
    <row r="418" spans="1:5" x14ac:dyDescent="0.25">
      <c r="A418" s="5">
        <v>417</v>
      </c>
      <c r="B418" s="5" t="s">
        <v>477</v>
      </c>
      <c r="D418" s="1">
        <v>416</v>
      </c>
      <c r="E418" s="1" t="s">
        <v>721</v>
      </c>
    </row>
    <row r="419" spans="1:5" x14ac:dyDescent="0.25">
      <c r="A419" s="5">
        <v>418</v>
      </c>
      <c r="B419" s="5" t="s">
        <v>478</v>
      </c>
      <c r="D419" s="1">
        <v>417</v>
      </c>
      <c r="E419" s="1" t="s">
        <v>906</v>
      </c>
    </row>
    <row r="420" spans="1:5" x14ac:dyDescent="0.25">
      <c r="A420" s="5">
        <v>419</v>
      </c>
      <c r="B420" s="5" t="s">
        <v>479</v>
      </c>
      <c r="D420" s="1">
        <v>418</v>
      </c>
      <c r="E420" s="1" t="s">
        <v>684</v>
      </c>
    </row>
    <row r="421" spans="1:5" x14ac:dyDescent="0.25">
      <c r="A421" s="5">
        <v>420</v>
      </c>
      <c r="B421" s="5" t="s">
        <v>480</v>
      </c>
      <c r="D421" s="1">
        <v>419</v>
      </c>
      <c r="E421" s="1" t="s">
        <v>645</v>
      </c>
    </row>
    <row r="422" spans="1:5" x14ac:dyDescent="0.25">
      <c r="A422" s="5">
        <v>421</v>
      </c>
      <c r="B422" s="5" t="s">
        <v>481</v>
      </c>
      <c r="D422" s="1">
        <v>420</v>
      </c>
      <c r="E422" s="1" t="s">
        <v>812</v>
      </c>
    </row>
    <row r="423" spans="1:5" x14ac:dyDescent="0.25">
      <c r="A423" s="5">
        <v>422</v>
      </c>
      <c r="B423" s="5" t="s">
        <v>482</v>
      </c>
      <c r="D423" s="1">
        <v>421</v>
      </c>
      <c r="E423" s="1" t="s">
        <v>701</v>
      </c>
    </row>
    <row r="424" spans="1:5" x14ac:dyDescent="0.25">
      <c r="A424" s="5">
        <v>423</v>
      </c>
      <c r="B424" s="5" t="s">
        <v>483</v>
      </c>
      <c r="D424" s="1">
        <v>422</v>
      </c>
      <c r="E424" s="1" t="s">
        <v>886</v>
      </c>
    </row>
    <row r="425" spans="1:5" x14ac:dyDescent="0.25">
      <c r="A425" s="5">
        <v>424</v>
      </c>
      <c r="B425" s="5" t="s">
        <v>484</v>
      </c>
      <c r="D425" s="1">
        <v>423</v>
      </c>
      <c r="E425" s="1" t="s">
        <v>921</v>
      </c>
    </row>
    <row r="426" spans="1:5" x14ac:dyDescent="0.25">
      <c r="A426" s="5">
        <v>425</v>
      </c>
      <c r="B426" s="5" t="s">
        <v>485</v>
      </c>
      <c r="D426" s="1">
        <v>424</v>
      </c>
      <c r="E426" s="1" t="s">
        <v>907</v>
      </c>
    </row>
    <row r="427" spans="1:5" x14ac:dyDescent="0.25">
      <c r="A427" s="5">
        <v>426</v>
      </c>
      <c r="B427" s="5" t="s">
        <v>486</v>
      </c>
      <c r="D427" s="1">
        <v>425</v>
      </c>
      <c r="E427" s="1" t="s">
        <v>825</v>
      </c>
    </row>
    <row r="428" spans="1:5" x14ac:dyDescent="0.25">
      <c r="A428" s="5">
        <v>427</v>
      </c>
      <c r="B428" s="5" t="s">
        <v>487</v>
      </c>
      <c r="D428" s="1">
        <v>426</v>
      </c>
      <c r="E428" s="1" t="s">
        <v>887</v>
      </c>
    </row>
    <row r="429" spans="1:5" x14ac:dyDescent="0.25">
      <c r="A429" s="5">
        <v>428</v>
      </c>
      <c r="B429" s="5" t="s">
        <v>488</v>
      </c>
      <c r="D429" s="1">
        <v>427</v>
      </c>
      <c r="E429" s="1" t="s">
        <v>722</v>
      </c>
    </row>
    <row r="430" spans="1:5" x14ac:dyDescent="0.25">
      <c r="A430" s="5">
        <v>429</v>
      </c>
      <c r="B430" s="5" t="s">
        <v>489</v>
      </c>
      <c r="D430" s="1">
        <v>428</v>
      </c>
      <c r="E430" s="1" t="s">
        <v>31</v>
      </c>
    </row>
    <row r="431" spans="1:5" x14ac:dyDescent="0.25">
      <c r="A431" s="5">
        <v>430</v>
      </c>
      <c r="B431" s="5" t="s">
        <v>490</v>
      </c>
      <c r="D431" s="1">
        <v>429</v>
      </c>
      <c r="E431" s="1" t="s">
        <v>702</v>
      </c>
    </row>
    <row r="432" spans="1:5" x14ac:dyDescent="0.25">
      <c r="A432" s="5">
        <v>431</v>
      </c>
      <c r="B432" s="5" t="s">
        <v>491</v>
      </c>
      <c r="D432" s="1">
        <v>430</v>
      </c>
      <c r="E432" s="1" t="s">
        <v>669</v>
      </c>
    </row>
    <row r="433" spans="1:5" x14ac:dyDescent="0.25">
      <c r="A433" s="5">
        <v>432</v>
      </c>
      <c r="B433" s="5" t="s">
        <v>492</v>
      </c>
      <c r="D433" s="1">
        <v>431</v>
      </c>
      <c r="E433" s="1" t="s">
        <v>586</v>
      </c>
    </row>
    <row r="434" spans="1:5" x14ac:dyDescent="0.25">
      <c r="A434" s="5">
        <v>433</v>
      </c>
      <c r="B434" s="5" t="s">
        <v>493</v>
      </c>
      <c r="D434" s="1">
        <v>432</v>
      </c>
      <c r="E434" s="1" t="s">
        <v>587</v>
      </c>
    </row>
    <row r="435" spans="1:5" x14ac:dyDescent="0.25">
      <c r="A435" s="5">
        <v>434</v>
      </c>
      <c r="B435" s="5" t="s">
        <v>494</v>
      </c>
      <c r="D435" s="1">
        <v>433</v>
      </c>
      <c r="E435" s="1" t="s">
        <v>614</v>
      </c>
    </row>
    <row r="436" spans="1:5" x14ac:dyDescent="0.25">
      <c r="A436" s="5">
        <v>435</v>
      </c>
      <c r="B436" s="5" t="s">
        <v>495</v>
      </c>
      <c r="D436" s="1">
        <v>434</v>
      </c>
      <c r="E436" s="1" t="s">
        <v>588</v>
      </c>
    </row>
    <row r="437" spans="1:5" x14ac:dyDescent="0.25">
      <c r="A437" s="5">
        <v>436</v>
      </c>
      <c r="B437" s="5" t="s">
        <v>496</v>
      </c>
      <c r="D437" s="1">
        <v>435</v>
      </c>
      <c r="E437" s="1" t="s">
        <v>946</v>
      </c>
    </row>
    <row r="438" spans="1:5" x14ac:dyDescent="0.25">
      <c r="A438" s="5">
        <v>437</v>
      </c>
      <c r="B438" s="5" t="s">
        <v>497</v>
      </c>
      <c r="D438" s="1">
        <v>436</v>
      </c>
      <c r="E438" s="1" t="s">
        <v>855</v>
      </c>
    </row>
    <row r="439" spans="1:5" x14ac:dyDescent="0.25">
      <c r="A439" s="5">
        <v>438</v>
      </c>
      <c r="B439" s="5" t="s">
        <v>498</v>
      </c>
      <c r="D439" s="1">
        <v>437</v>
      </c>
      <c r="E439" s="1" t="s">
        <v>842</v>
      </c>
    </row>
    <row r="440" spans="1:5" x14ac:dyDescent="0.25">
      <c r="A440" s="5">
        <v>439</v>
      </c>
      <c r="B440" s="5" t="s">
        <v>499</v>
      </c>
      <c r="D440" s="1">
        <v>438</v>
      </c>
      <c r="E440" s="1" t="s">
        <v>703</v>
      </c>
    </row>
    <row r="441" spans="1:5" x14ac:dyDescent="0.25">
      <c r="A441" s="5">
        <v>440</v>
      </c>
      <c r="B441" s="5" t="s">
        <v>500</v>
      </c>
      <c r="D441" s="1">
        <v>439</v>
      </c>
      <c r="E441" s="1" t="s">
        <v>615</v>
      </c>
    </row>
    <row r="442" spans="1:5" x14ac:dyDescent="0.25">
      <c r="A442" s="5">
        <v>441</v>
      </c>
      <c r="B442" s="5" t="s">
        <v>501</v>
      </c>
      <c r="D442" s="1">
        <v>440</v>
      </c>
      <c r="E442" s="1" t="s">
        <v>685</v>
      </c>
    </row>
    <row r="443" spans="1:5" x14ac:dyDescent="0.25">
      <c r="A443" s="5">
        <v>442</v>
      </c>
      <c r="B443" s="5" t="s">
        <v>502</v>
      </c>
      <c r="D443" s="1">
        <v>441</v>
      </c>
      <c r="E443" s="1" t="s">
        <v>34</v>
      </c>
    </row>
    <row r="444" spans="1:5" x14ac:dyDescent="0.25">
      <c r="A444" s="5">
        <v>443</v>
      </c>
      <c r="B444" s="5" t="s">
        <v>503</v>
      </c>
      <c r="D444" s="1">
        <v>442</v>
      </c>
      <c r="E444" s="1" t="s">
        <v>22</v>
      </c>
    </row>
    <row r="445" spans="1:5" x14ac:dyDescent="0.25">
      <c r="A445" s="5">
        <v>444</v>
      </c>
      <c r="B445" s="5" t="s">
        <v>504</v>
      </c>
      <c r="D445" s="1">
        <v>443</v>
      </c>
      <c r="E445" s="1" t="s">
        <v>704</v>
      </c>
    </row>
    <row r="446" spans="1:5" x14ac:dyDescent="0.25">
      <c r="A446" s="5">
        <v>445</v>
      </c>
      <c r="B446" s="5" t="s">
        <v>505</v>
      </c>
      <c r="D446" s="1">
        <v>444</v>
      </c>
      <c r="E446" s="1" t="s">
        <v>856</v>
      </c>
    </row>
    <row r="447" spans="1:5" x14ac:dyDescent="0.25">
      <c r="A447" s="5">
        <v>446</v>
      </c>
      <c r="B447" s="5" t="s">
        <v>506</v>
      </c>
      <c r="D447" s="1">
        <v>445</v>
      </c>
      <c r="E447" s="1" t="s">
        <v>908</v>
      </c>
    </row>
    <row r="448" spans="1:5" x14ac:dyDescent="0.25">
      <c r="A448" s="5">
        <v>447</v>
      </c>
      <c r="B448" s="5" t="s">
        <v>507</v>
      </c>
      <c r="D448" s="1">
        <v>446</v>
      </c>
      <c r="E448" s="1" t="s">
        <v>589</v>
      </c>
    </row>
    <row r="449" spans="1:5" x14ac:dyDescent="0.25">
      <c r="A449" s="5">
        <v>448</v>
      </c>
      <c r="B449" s="5" t="s">
        <v>508</v>
      </c>
      <c r="D449" s="1">
        <v>447</v>
      </c>
      <c r="E449" s="1" t="s">
        <v>590</v>
      </c>
    </row>
    <row r="450" spans="1:5" x14ac:dyDescent="0.25">
      <c r="A450" s="5">
        <v>449</v>
      </c>
      <c r="B450" s="5" t="s">
        <v>509</v>
      </c>
      <c r="D450" s="1">
        <v>448</v>
      </c>
      <c r="E450" s="1" t="s">
        <v>616</v>
      </c>
    </row>
    <row r="451" spans="1:5" x14ac:dyDescent="0.25">
      <c r="A451" s="5">
        <v>450</v>
      </c>
      <c r="B451" s="5" t="s">
        <v>510</v>
      </c>
      <c r="D451" s="1">
        <v>449</v>
      </c>
      <c r="E451" s="1" t="s">
        <v>617</v>
      </c>
    </row>
    <row r="452" spans="1:5" x14ac:dyDescent="0.25">
      <c r="A452" s="5">
        <v>451</v>
      </c>
      <c r="B452" s="5" t="s">
        <v>511</v>
      </c>
      <c r="D452" s="1">
        <v>450</v>
      </c>
      <c r="E452" s="1" t="s">
        <v>56</v>
      </c>
    </row>
    <row r="453" spans="1:5" x14ac:dyDescent="0.25">
      <c r="A453" s="5">
        <v>452</v>
      </c>
      <c r="B453" s="5" t="s">
        <v>512</v>
      </c>
      <c r="D453" s="1">
        <v>451</v>
      </c>
      <c r="E453" s="1" t="s">
        <v>705</v>
      </c>
    </row>
    <row r="454" spans="1:5" x14ac:dyDescent="0.25">
      <c r="A454" s="5">
        <v>453</v>
      </c>
      <c r="B454" s="5" t="s">
        <v>513</v>
      </c>
      <c r="D454" s="1">
        <v>452</v>
      </c>
      <c r="E454" s="1" t="s">
        <v>706</v>
      </c>
    </row>
    <row r="455" spans="1:5" x14ac:dyDescent="0.25">
      <c r="A455" s="5">
        <v>454</v>
      </c>
      <c r="B455" s="5" t="s">
        <v>514</v>
      </c>
      <c r="D455" s="1">
        <v>453</v>
      </c>
      <c r="E455" s="1" t="s">
        <v>789</v>
      </c>
    </row>
    <row r="456" spans="1:5" x14ac:dyDescent="0.25">
      <c r="A456" s="5">
        <v>455</v>
      </c>
      <c r="B456" s="5" t="s">
        <v>515</v>
      </c>
      <c r="D456" s="1">
        <v>454</v>
      </c>
      <c r="E456" s="1" t="s">
        <v>618</v>
      </c>
    </row>
    <row r="457" spans="1:5" x14ac:dyDescent="0.25">
      <c r="A457" s="5">
        <v>456</v>
      </c>
      <c r="B457" s="5" t="s">
        <v>516</v>
      </c>
      <c r="D457" s="1">
        <v>455</v>
      </c>
      <c r="E457" s="1" t="s">
        <v>619</v>
      </c>
    </row>
    <row r="458" spans="1:5" x14ac:dyDescent="0.25">
      <c r="A458" s="5">
        <v>457</v>
      </c>
      <c r="B458" s="5" t="s">
        <v>517</v>
      </c>
      <c r="D458" s="1">
        <v>456</v>
      </c>
      <c r="E458" s="1" t="s">
        <v>620</v>
      </c>
    </row>
    <row r="459" spans="1:5" x14ac:dyDescent="0.25">
      <c r="A459" s="5">
        <v>458</v>
      </c>
      <c r="B459" s="5" t="s">
        <v>518</v>
      </c>
      <c r="D459" s="1">
        <v>457</v>
      </c>
      <c r="E459" s="1" t="s">
        <v>670</v>
      </c>
    </row>
    <row r="460" spans="1:5" x14ac:dyDescent="0.25">
      <c r="A460" s="5">
        <v>459</v>
      </c>
      <c r="B460" s="5" t="s">
        <v>519</v>
      </c>
      <c r="D460" s="1">
        <v>458</v>
      </c>
      <c r="E460" s="1" t="s">
        <v>765</v>
      </c>
    </row>
    <row r="461" spans="1:5" x14ac:dyDescent="0.25">
      <c r="A461" s="5">
        <v>460</v>
      </c>
      <c r="B461" s="5" t="s">
        <v>520</v>
      </c>
      <c r="D461" s="1">
        <v>459</v>
      </c>
      <c r="E461" s="1" t="s">
        <v>621</v>
      </c>
    </row>
    <row r="462" spans="1:5" x14ac:dyDescent="0.25">
      <c r="A462" s="5">
        <v>461</v>
      </c>
      <c r="B462" s="5" t="s">
        <v>521</v>
      </c>
      <c r="D462" s="1">
        <v>460</v>
      </c>
      <c r="E462" s="1" t="s">
        <v>622</v>
      </c>
    </row>
    <row r="463" spans="1:5" x14ac:dyDescent="0.25">
      <c r="A463" s="5">
        <v>462</v>
      </c>
      <c r="B463" s="5" t="s">
        <v>522</v>
      </c>
      <c r="D463" s="1">
        <v>461</v>
      </c>
      <c r="E463" s="1" t="s">
        <v>623</v>
      </c>
    </row>
    <row r="464" spans="1:5" x14ac:dyDescent="0.25">
      <c r="A464" s="5">
        <v>463</v>
      </c>
      <c r="B464" s="5" t="s">
        <v>523</v>
      </c>
      <c r="D464" s="1">
        <v>462</v>
      </c>
      <c r="E464" s="1" t="s">
        <v>624</v>
      </c>
    </row>
    <row r="465" spans="1:5" x14ac:dyDescent="0.25">
      <c r="A465" s="5">
        <v>464</v>
      </c>
      <c r="B465" s="5" t="s">
        <v>524</v>
      </c>
      <c r="D465" s="1">
        <v>463</v>
      </c>
      <c r="E465" s="1" t="s">
        <v>625</v>
      </c>
    </row>
    <row r="466" spans="1:5" x14ac:dyDescent="0.25">
      <c r="A466" s="5">
        <v>465</v>
      </c>
      <c r="B466" s="5" t="s">
        <v>525</v>
      </c>
      <c r="D466" s="1">
        <v>464</v>
      </c>
      <c r="E466" s="1" t="s">
        <v>626</v>
      </c>
    </row>
    <row r="467" spans="1:5" x14ac:dyDescent="0.25">
      <c r="A467" s="5">
        <v>466</v>
      </c>
      <c r="B467" s="5" t="s">
        <v>526</v>
      </c>
      <c r="D467" s="1">
        <v>465</v>
      </c>
      <c r="E467" s="1" t="s">
        <v>646</v>
      </c>
    </row>
    <row r="468" spans="1:5" x14ac:dyDescent="0.25">
      <c r="A468" s="5">
        <v>467</v>
      </c>
      <c r="B468" s="5" t="s">
        <v>527</v>
      </c>
      <c r="D468" s="1">
        <v>466</v>
      </c>
      <c r="E468" s="1" t="s">
        <v>24</v>
      </c>
    </row>
    <row r="469" spans="1:5" x14ac:dyDescent="0.25">
      <c r="A469" s="5">
        <v>468</v>
      </c>
      <c r="B469" s="5" t="s">
        <v>528</v>
      </c>
      <c r="D469" s="1">
        <v>467</v>
      </c>
      <c r="E469" s="1" t="s">
        <v>647</v>
      </c>
    </row>
    <row r="470" spans="1:5" x14ac:dyDescent="0.25">
      <c r="A470" s="5">
        <v>469</v>
      </c>
      <c r="B470" s="5" t="s">
        <v>529</v>
      </c>
    </row>
    <row r="471" spans="1:5" x14ac:dyDescent="0.25">
      <c r="A471" s="5">
        <v>470</v>
      </c>
      <c r="B471" s="5" t="s">
        <v>530</v>
      </c>
    </row>
    <row r="472" spans="1:5" x14ac:dyDescent="0.25">
      <c r="A472" s="5">
        <v>471</v>
      </c>
      <c r="B472" s="5" t="s">
        <v>531</v>
      </c>
    </row>
    <row r="473" spans="1:5" x14ac:dyDescent="0.25">
      <c r="A473" s="5">
        <v>472</v>
      </c>
      <c r="B473" s="5" t="s">
        <v>532</v>
      </c>
    </row>
    <row r="474" spans="1:5" x14ac:dyDescent="0.25">
      <c r="A474" s="5">
        <v>473</v>
      </c>
      <c r="B474" s="5" t="s">
        <v>533</v>
      </c>
    </row>
    <row r="475" spans="1:5" x14ac:dyDescent="0.25">
      <c r="A475" s="5">
        <v>474</v>
      </c>
      <c r="B475" s="5" t="s">
        <v>534</v>
      </c>
    </row>
    <row r="476" spans="1:5" x14ac:dyDescent="0.25">
      <c r="A476" s="5">
        <v>475</v>
      </c>
      <c r="B476" s="5" t="s">
        <v>535</v>
      </c>
    </row>
    <row r="477" spans="1:5" x14ac:dyDescent="0.25">
      <c r="A477" s="5">
        <v>476</v>
      </c>
      <c r="B477" s="5" t="s">
        <v>536</v>
      </c>
    </row>
    <row r="478" spans="1:5" x14ac:dyDescent="0.25">
      <c r="A478" s="5">
        <v>477</v>
      </c>
      <c r="B478" s="5" t="s">
        <v>537</v>
      </c>
    </row>
    <row r="479" spans="1:5" x14ac:dyDescent="0.25">
      <c r="A479" s="5">
        <v>478</v>
      </c>
      <c r="B479" s="5" t="s">
        <v>538</v>
      </c>
    </row>
    <row r="480" spans="1:5" x14ac:dyDescent="0.25">
      <c r="A480" s="5">
        <v>479</v>
      </c>
      <c r="B480" s="5" t="s">
        <v>539</v>
      </c>
    </row>
    <row r="481" spans="1:2" x14ac:dyDescent="0.25">
      <c r="A481" s="5">
        <v>480</v>
      </c>
      <c r="B481" s="5" t="s">
        <v>540</v>
      </c>
    </row>
    <row r="482" spans="1:2" x14ac:dyDescent="0.25">
      <c r="A482" s="5">
        <v>481</v>
      </c>
      <c r="B482" s="5" t="s">
        <v>541</v>
      </c>
    </row>
    <row r="483" spans="1:2" x14ac:dyDescent="0.25">
      <c r="A483" s="5">
        <v>482</v>
      </c>
      <c r="B483" s="5" t="s">
        <v>542</v>
      </c>
    </row>
    <row r="484" spans="1:2" x14ac:dyDescent="0.25">
      <c r="A484" s="5">
        <v>483</v>
      </c>
      <c r="B484" s="5" t="s">
        <v>543</v>
      </c>
    </row>
    <row r="485" spans="1:2" x14ac:dyDescent="0.25">
      <c r="A485" s="5">
        <v>484</v>
      </c>
      <c r="B485" s="5" t="s">
        <v>544</v>
      </c>
    </row>
    <row r="486" spans="1:2" x14ac:dyDescent="0.25">
      <c r="A486" s="5">
        <v>485</v>
      </c>
      <c r="B486" s="5" t="s">
        <v>545</v>
      </c>
    </row>
    <row r="487" spans="1:2" x14ac:dyDescent="0.25">
      <c r="A487" s="5">
        <v>486</v>
      </c>
      <c r="B487" s="5" t="s">
        <v>546</v>
      </c>
    </row>
    <row r="488" spans="1:2" x14ac:dyDescent="0.25">
      <c r="A488" s="5">
        <v>487</v>
      </c>
      <c r="B488" s="5" t="s">
        <v>547</v>
      </c>
    </row>
    <row r="489" spans="1:2" x14ac:dyDescent="0.25">
      <c r="A489" s="5">
        <v>488</v>
      </c>
      <c r="B489" s="5" t="s">
        <v>548</v>
      </c>
    </row>
    <row r="490" spans="1:2" x14ac:dyDescent="0.25">
      <c r="A490" s="5">
        <v>489</v>
      </c>
      <c r="B490" s="5" t="s">
        <v>549</v>
      </c>
    </row>
    <row r="491" spans="1:2" x14ac:dyDescent="0.25">
      <c r="A491" s="5">
        <v>490</v>
      </c>
      <c r="B491" s="5" t="s">
        <v>550</v>
      </c>
    </row>
    <row r="492" spans="1:2" x14ac:dyDescent="0.25">
      <c r="A492" s="5">
        <v>491</v>
      </c>
      <c r="B492" s="5" t="s">
        <v>551</v>
      </c>
    </row>
    <row r="493" spans="1:2" x14ac:dyDescent="0.25">
      <c r="A493" s="5">
        <v>492</v>
      </c>
      <c r="B493" s="5" t="s">
        <v>552</v>
      </c>
    </row>
    <row r="494" spans="1:2" x14ac:dyDescent="0.25">
      <c r="A494" s="5">
        <v>493</v>
      </c>
      <c r="B494" s="5" t="s">
        <v>553</v>
      </c>
    </row>
    <row r="495" spans="1:2" x14ac:dyDescent="0.25">
      <c r="A495" s="5">
        <v>494</v>
      </c>
      <c r="B495" s="1" t="s">
        <v>554</v>
      </c>
    </row>
    <row r="496" spans="1:2" x14ac:dyDescent="0.25">
      <c r="A496" s="5">
        <v>495</v>
      </c>
      <c r="B496" s="1" t="s">
        <v>555</v>
      </c>
    </row>
    <row r="497" spans="1:2" x14ac:dyDescent="0.25">
      <c r="A497" s="5">
        <v>496</v>
      </c>
      <c r="B497" s="1" t="s">
        <v>556</v>
      </c>
    </row>
    <row r="498" spans="1:2" x14ac:dyDescent="0.25">
      <c r="A498" s="5">
        <v>497</v>
      </c>
      <c r="B498" s="5" t="s">
        <v>557</v>
      </c>
    </row>
    <row r="499" spans="1:2" x14ac:dyDescent="0.25">
      <c r="A499" s="5">
        <v>498</v>
      </c>
      <c r="B499" s="5" t="s">
        <v>558</v>
      </c>
    </row>
    <row r="500" spans="1:2" x14ac:dyDescent="0.25">
      <c r="A500" s="5">
        <v>499</v>
      </c>
      <c r="B500" s="5" t="s">
        <v>565</v>
      </c>
    </row>
    <row r="501" spans="1:2" x14ac:dyDescent="0.25">
      <c r="A501" s="5">
        <v>500</v>
      </c>
      <c r="B501" s="5" t="s">
        <v>559</v>
      </c>
    </row>
    <row r="502" spans="1:2" x14ac:dyDescent="0.25">
      <c r="A502" s="5">
        <v>501</v>
      </c>
      <c r="B502" s="5" t="s">
        <v>560</v>
      </c>
    </row>
    <row r="503" spans="1:2" x14ac:dyDescent="0.25">
      <c r="A503" s="5">
        <v>502</v>
      </c>
      <c r="B503" s="5" t="s">
        <v>561</v>
      </c>
    </row>
    <row r="504" spans="1:2" x14ac:dyDescent="0.25">
      <c r="A504" s="5">
        <v>503</v>
      </c>
      <c r="B504" s="5" t="s">
        <v>562</v>
      </c>
    </row>
    <row r="505" spans="1:2" x14ac:dyDescent="0.25">
      <c r="A505" s="5">
        <v>504</v>
      </c>
      <c r="B505" s="5" t="s">
        <v>563</v>
      </c>
    </row>
    <row r="506" spans="1:2" x14ac:dyDescent="0.25">
      <c r="A506" s="5">
        <v>505</v>
      </c>
      <c r="B506" s="5" t="s">
        <v>564</v>
      </c>
    </row>
  </sheetData>
  <sheetProtection algorithmName="SHA-512" hashValue="FcQ7JUnCF4BdHnUr+/6dxq3bvy7MPevEIJiQPoVCd3s+X6gCNcm8OaX6UGZaV+1AKJlFWc+qV0QCpG224IgwKQ==" saltValue="JZrbld7D8MLQUuX17F2qqQ==" spinCount="100000" sheet="1" objects="1" scenarios="1" selectLockedCells="1"/>
  <sortState ref="D3:E469">
    <sortCondition ref="D3:D469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HGSS</vt:lpstr>
      <vt:lpstr>Platinum</vt:lpstr>
      <vt:lpstr>Lookups</vt:lpstr>
      <vt:lpstr>Password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2025-09-13T20:44:01Z</dcterms:created>
  <dcterms:modified xsi:type="dcterms:W3CDTF">2026-03-11T11:47:09Z</dcterms:modified>
</cp:coreProperties>
</file>